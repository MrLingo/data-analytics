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rlingo\Desktop\"/>
    </mc:Choice>
  </mc:AlternateContent>
  <xr:revisionPtr revIDLastSave="0" documentId="13_ncr:1_{469AAEE8-0CCF-4FE9-8906-3EBDAB7B67F2}" xr6:coauthVersionLast="47" xr6:coauthVersionMax="47" xr10:uidLastSave="{00000000-0000-0000-0000-000000000000}"/>
  <bookViews>
    <workbookView xWindow="-120" yWindow="-120" windowWidth="29040" windowHeight="15840" activeTab="2" xr2:uid="{F6EBDEE4-B95D-43AC-BCD0-0718BBFEDAC4}"/>
  </bookViews>
  <sheets>
    <sheet name="VBA Labirynth" sheetId="13" r:id="rId1"/>
    <sheet name="Pivot &amp; Charts" sheetId="16" r:id="rId2"/>
    <sheet name="Cond. formatting + vlookup" sheetId="18" r:id="rId3"/>
  </sheets>
  <calcPr calcId="191029"/>
  <pivotCaches>
    <pivotCache cacheId="9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mrlingo</author>
  </authors>
  <commentList>
    <comment ref="L3" authorId="0" shapeId="0" xr:uid="{FA703BA3-5DB5-4FA7-AEA4-99F692CDAA0C}">
      <text>
        <r>
          <rPr>
            <b/>
            <sz val="14"/>
            <color indexed="81"/>
            <rFont val="Tahoma"/>
            <family val="2"/>
          </rPr>
          <t>Reach the orange square using the navigation buttons left of the labirynth. Make sure your selected cell is always on the red square from the beginnig!</t>
        </r>
      </text>
    </comment>
  </commentList>
</comments>
</file>

<file path=xl/sharedStrings.xml><?xml version="1.0" encoding="utf-8"?>
<sst xmlns="http://schemas.openxmlformats.org/spreadsheetml/2006/main" count="668" uniqueCount="63">
  <si>
    <t>OrderDate</t>
  </si>
  <si>
    <t>Region</t>
  </si>
  <si>
    <t>Rep</t>
  </si>
  <si>
    <t>Item</t>
  </si>
  <si>
    <t>Units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</si>
  <si>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</si>
  <si>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</si>
  <si>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</si>
  <si>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</si>
  <si>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</si>
  <si>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</si>
  <si>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</si>
  <si>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</si>
  <si>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</si>
  <si>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</si>
  <si>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</si>
  <si>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</si>
  <si>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</si>
  <si>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</si>
  <si>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</si>
  <si>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</si>
  <si>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</si>
  <si>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</si>
  <si>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</si>
  <si>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</si>
  <si>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Unit Cost</t>
  </si>
  <si>
    <t>Row Labels</t>
  </si>
  <si>
    <t>Grand Total</t>
  </si>
  <si>
    <t>Column Labels</t>
  </si>
  <si>
    <t>2019</t>
  </si>
  <si>
    <t>2020</t>
  </si>
  <si>
    <t>Qtr3</t>
  </si>
  <si>
    <t>Jul</t>
  </si>
  <si>
    <t>Aug</t>
  </si>
  <si>
    <t>Sep</t>
  </si>
  <si>
    <t>Count of Item</t>
  </si>
  <si>
    <t>Qtr1</t>
  </si>
  <si>
    <t>Jan</t>
  </si>
  <si>
    <t>Feb</t>
  </si>
  <si>
    <t>Mar</t>
  </si>
  <si>
    <t>Qtr2</t>
  </si>
  <si>
    <t>Apr</t>
  </si>
  <si>
    <t>May</t>
  </si>
  <si>
    <t>Jun</t>
  </si>
  <si>
    <t>Qtr4</t>
  </si>
  <si>
    <t>Oct</t>
  </si>
  <si>
    <t>Nov</t>
  </si>
  <si>
    <t>Dec</t>
  </si>
  <si>
    <t>Sum of Total</t>
  </si>
  <si>
    <t>id</t>
  </si>
  <si>
    <t>gender</t>
  </si>
  <si>
    <t>bdate</t>
  </si>
  <si>
    <t>educ</t>
  </si>
  <si>
    <t>jobcat</t>
  </si>
  <si>
    <t>salary</t>
  </si>
  <si>
    <t>salbegin</t>
  </si>
  <si>
    <t>jobtime</t>
  </si>
  <si>
    <t>prevexp</t>
  </si>
  <si>
    <t>minority</t>
  </si>
  <si>
    <t>m</t>
  </si>
  <si>
    <t>f</t>
  </si>
  <si>
    <t>Find salary by bdate:</t>
  </si>
  <si>
    <t>Birthdate: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</si>
</sst>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  <numFmt numFmtId="165" formatCode="d\-mmm\-yyyy"/>
    <numFmt numFmtId="166" formatCode="&quot;$&quot;#,##0"/>
    <numFmt numFmtId="167" formatCode="_([$€-2]\ * #,##0.00_);_([$€-2]\ * \(#,##0.00\);_([$€-2]\ * &quot;-&quot;??_);_(@_)"/>
    <numFmt numFmtId="187" formatCode="_([$$-409]* #,##0_);_([$$-409]* \(#,##0\);_([$$-409]* &quot;-&quot;??_);_(@_)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0" fillId="6" borderId="0" xfId="0" applyFill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5" xfId="0" applyFill="1" applyBorder="1" applyProtection="1"/>
    <xf numFmtId="0" fontId="0" fillId="2" borderId="5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1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0" fillId="2" borderId="14" xfId="0" applyFill="1" applyBorder="1"/>
    <xf numFmtId="0" fontId="0" fillId="2" borderId="10" xfId="0" applyFill="1" applyBorder="1" applyProtection="1"/>
    <xf numFmtId="0" fontId="0" fillId="2" borderId="13" xfId="0" applyFill="1" applyBorder="1" applyProtection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16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7" borderId="4" xfId="0" applyFill="1" applyBorder="1" applyProtection="1"/>
    <xf numFmtId="0" fontId="0" fillId="7" borderId="5" xfId="0" applyFill="1" applyBorder="1" applyProtection="1"/>
    <xf numFmtId="0" fontId="0" fillId="8" borderId="0" xfId="0" applyFill="1"/>
    <xf numFmtId="0" fontId="0" fillId="8" borderId="0" xfId="0" applyFill="1" applyBorder="1"/>
    <xf numFmtId="0" fontId="0" fillId="0" borderId="0" xfId="0" applyAlignment="1">
      <alignment horizontal="left" indent="1"/>
    </xf>
    <xf numFmtId="164" fontId="0" fillId="0" borderId="0" xfId="0" applyNumberFormat="1"/>
    <xf numFmtId="3" fontId="5" fillId="0" borderId="0" xfId="4" applyNumberFormat="1" applyFont="1"/>
    <xf numFmtId="165" fontId="5" fillId="0" borderId="0" xfId="4" applyNumberFormat="1" applyFont="1"/>
    <xf numFmtId="166" fontId="5" fillId="0" borderId="0" xfId="4" applyNumberFormat="1" applyFont="1"/>
    <xf numFmtId="167" fontId="0" fillId="0" borderId="0" xfId="0" applyNumberFormat="1" applyAlignment="1">
      <alignment horizontal="left" vertical="center"/>
    </xf>
    <xf numFmtId="167" fontId="0" fillId="0" borderId="0" xfId="1" applyNumberFormat="1" applyFont="1" applyFill="1" applyBorder="1" applyAlignment="1" applyProtection="1">
      <alignment horizontal="left" vertical="center"/>
    </xf>
    <xf numFmtId="167" fontId="0" fillId="0" borderId="0" xfId="1" applyNumberFormat="1" applyFont="1" applyFill="1" applyBorder="1" applyAlignment="1" applyProtection="1">
      <alignment vertical="center"/>
    </xf>
    <xf numFmtId="167" fontId="0" fillId="0" borderId="0" xfId="0" applyNumberFormat="1"/>
    <xf numFmtId="0" fontId="4" fillId="0" borderId="0" xfId="0" applyFont="1"/>
    <xf numFmtId="187" fontId="0" fillId="0" borderId="0" xfId="2" applyNumberFormat="1" applyFont="1"/>
    <xf numFmtId="15" fontId="0" fillId="0" borderId="0" xfId="0" applyNumberFormat="1"/>
    <xf numFmtId="0" fontId="0" fillId="7" borderId="2" xfId="0" applyFill="1" applyBorder="1"/>
    <xf numFmtId="0" fontId="0" fillId="7" borderId="1" xfId="0" applyFill="1" applyBorder="1"/>
    <xf numFmtId="0" fontId="0" fillId="7" borderId="5" xfId="0" applyFill="1" applyBorder="1"/>
    <xf numFmtId="9" fontId="0" fillId="0" borderId="0" xfId="3" applyFont="1"/>
    <xf numFmtId="9" fontId="0" fillId="0" borderId="0" xfId="0" applyNumberFormat="1"/>
  </cellXfs>
  <cellStyles count="5">
    <cellStyle name="Comma" xfId="1" builtinId="3"/>
    <cellStyle name="Currency" xfId="2" builtinId="4"/>
    <cellStyle name="Normal" xfId="0" builtinId="0"/>
    <cellStyle name="Normal 2" xfId="4" xr:uid="{BB9162B9-AFDD-4475-9B7F-EE6A59F248F1}"/>
    <cellStyle name="Percent" xfId="3" builtinId="5"/>
  </cellStyles>
  <dxfs count="34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d\-mmm\-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[vba_exercise.xlsm]Pivot &amp; Charts!PivotTable1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Items</a:t>
            </a:r>
            <a:r>
              <a:rPr lang="en-US" baseline="0"/>
              <a:t> sold and order date per region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&amp; Charts'!$K$2:$K$3</c:f>
              <c:strCache>
                <c:ptCount val="1"/>
                <c:pt idx="0">
                  <c:v>Jan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'Pivot &amp; Charts'!$J$4:$J$7</c:f>
              <c:strCache>
                <c:ptCount val="3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</c:strCache>
            </c:strRef>
          </c:cat>
          <c:val>
            <c:numRef>
              <c:f>'Pivot &amp; Charts'!$K$4:$K$7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6E-4585-8E48-3310FACB8ADD}"/>
            </c:ext>
          </c:extLst>
        </c:ser>
        <c:ser>
          <c:idx val="1"/>
          <c:order val="1"/>
          <c:tx>
            <c:strRef>
              <c:f>'Pivot &amp; Charts'!$L$2:$L$3</c:f>
              <c:strCache>
                <c:ptCount val="1"/>
                <c:pt idx="0">
                  <c:v>Feb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'Pivot &amp; Charts'!$J$4:$J$7</c:f>
              <c:strCache>
                <c:ptCount val="3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</c:strCache>
            </c:strRef>
          </c:cat>
          <c:val>
            <c:numRef>
              <c:f>'Pivot &amp; Charts'!$L$4:$L$7</c:f>
              <c:numCache>
                <c:formatCode>General</c:formatCode>
                <c:ptCount val="3"/>
                <c:pt idx="0">
                  <c:v>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0F6E-4585-8E48-3310FACB8ADD}"/>
            </c:ext>
          </c:extLst>
        </c:ser>
        <c:ser>
          <c:idx val="2"/>
          <c:order val="2"/>
          <c:tx>
            <c:strRef>
              <c:f>'Pivot &amp; Charts'!$M$2:$M$3</c:f>
              <c:strCache>
                <c:ptCount val="1"/>
                <c:pt idx="0">
                  <c:v>Mar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'Pivot &amp; Charts'!$J$4:$J$7</c:f>
              <c:strCache>
                <c:ptCount val="3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</c:strCache>
            </c:strRef>
          </c:cat>
          <c:val>
            <c:numRef>
              <c:f>'Pivot &amp; Charts'!$M$4:$M$7</c:f>
              <c:numCache>
                <c:formatCode>General</c:formatCode>
                <c:ptCount val="3"/>
                <c:pt idx="0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0F6E-4585-8E48-3310FACB8ADD}"/>
            </c:ext>
          </c:extLst>
        </c:ser>
        <c:ser>
          <c:idx val="3"/>
          <c:order val="3"/>
          <c:tx>
            <c:strRef>
              <c:f>'Pivot &amp; Charts'!$N$2:$N$3</c:f>
              <c:strCache>
                <c:ptCount val="1"/>
                <c:pt idx="0">
                  <c:v>Apr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'Pivot &amp; Charts'!$J$4:$J$7</c:f>
              <c:strCache>
                <c:ptCount val="3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</c:strCache>
            </c:strRef>
          </c:cat>
          <c:val>
            <c:numRef>
              <c:f>'Pivot &amp; Charts'!$N$4:$N$7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0F6E-4585-8E48-3310FACB8ADD}"/>
            </c:ext>
          </c:extLst>
        </c:ser>
        <c:ser>
          <c:idx val="4"/>
          <c:order val="4"/>
          <c:tx>
            <c:strRef>
              <c:f>'Pivot &amp; Charts'!$O$2:$O$3</c:f>
              <c:strCache>
                <c:ptCount val="1"/>
                <c:pt idx="0">
                  <c:v>May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'Pivot &amp; Charts'!$J$4:$J$7</c:f>
              <c:strCache>
                <c:ptCount val="3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</c:strCache>
            </c:strRef>
          </c:cat>
          <c:val>
            <c:numRef>
              <c:f>'Pivot &amp; Charts'!$O$4:$O$7</c:f>
              <c:numCache>
                <c:formatCode>General</c:formatCode>
                <c:ptCount val="3"/>
                <c:pt idx="0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0F6E-4585-8E48-3310FACB8ADD}"/>
            </c:ext>
          </c:extLst>
        </c:ser>
        <c:ser>
          <c:idx val="5"/>
          <c:order val="5"/>
          <c:tx>
            <c:strRef>
              <c:f>'Pivot &amp; Charts'!$P$2:$P$3</c:f>
              <c:strCache>
                <c:ptCount val="1"/>
                <c:pt idx="0">
                  <c:v>Jun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'Pivot &amp; Charts'!$J$4:$J$7</c:f>
              <c:strCache>
                <c:ptCount val="3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</c:strCache>
            </c:strRef>
          </c:cat>
          <c:val>
            <c:numRef>
              <c:f>'Pivot &amp; Charts'!$P$4:$P$7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0F6E-4585-8E48-3310FACB8ADD}"/>
            </c:ext>
          </c:extLst>
        </c:ser>
        <c:ser>
          <c:idx val="6"/>
          <c:order val="6"/>
          <c:tx>
            <c:strRef>
              <c:f>'Pivot &amp; Charts'!$Q$2:$Q$3</c:f>
              <c:strCache>
                <c:ptCount val="1"/>
                <c:pt idx="0">
                  <c:v>Jul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'Pivot &amp; Charts'!$J$4:$J$7</c:f>
              <c:strCache>
                <c:ptCount val="3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</c:strCache>
            </c:strRef>
          </c:cat>
          <c:val>
            <c:numRef>
              <c:f>'Pivot &amp; Charts'!$Q$4:$Q$7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0F6E-4585-8E48-3310FACB8ADD}"/>
            </c:ext>
          </c:extLst>
        </c:ser>
        <c:ser>
          <c:idx val="7"/>
          <c:order val="7"/>
          <c:tx>
            <c:strRef>
              <c:f>'Pivot &amp; Charts'!$R$2:$R$3</c:f>
              <c:strCache>
                <c:ptCount val="1"/>
                <c:pt idx="0">
                  <c:v>Aug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'Pivot &amp; Charts'!$J$4:$J$7</c:f>
              <c:strCache>
                <c:ptCount val="3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</c:strCache>
            </c:strRef>
          </c:cat>
          <c:val>
            <c:numRef>
              <c:f>'Pivot &amp; Charts'!$R$4:$R$7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0F6E-4585-8E48-3310FACB8ADD}"/>
            </c:ext>
          </c:extLst>
        </c:ser>
        <c:ser>
          <c:idx val="8"/>
          <c:order val="8"/>
          <c:tx>
            <c:strRef>
              <c:f>'Pivot &amp; Charts'!$S$2:$S$3</c:f>
              <c:strCache>
                <c:ptCount val="1"/>
                <c:pt idx="0">
                  <c:v>Sep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'Pivot &amp; Charts'!$J$4:$J$7</c:f>
              <c:strCache>
                <c:ptCount val="3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</c:strCache>
            </c:strRef>
          </c:cat>
          <c:val>
            <c:numRef>
              <c:f>'Pivot &amp; Charts'!$S$4:$S$7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0F6E-4585-8E48-3310FACB8ADD}"/>
            </c:ext>
          </c:extLst>
        </c:ser>
        <c:ser>
          <c:idx val="9"/>
          <c:order val="9"/>
          <c:tx>
            <c:strRef>
              <c:f>'Pivot &amp; Charts'!$T$2:$T$3</c:f>
              <c:strCache>
                <c:ptCount val="1"/>
                <c:pt idx="0">
                  <c:v>Oct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'Pivot &amp; Charts'!$J$4:$J$7</c:f>
              <c:strCache>
                <c:ptCount val="3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</c:strCache>
            </c:strRef>
          </c:cat>
          <c:val>
            <c:numRef>
              <c:f>'Pivot &amp; Charts'!$T$4:$T$7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0F6E-4585-8E48-3310FACB8ADD}"/>
            </c:ext>
          </c:extLst>
        </c:ser>
        <c:ser>
          <c:idx val="10"/>
          <c:order val="10"/>
          <c:tx>
            <c:strRef>
              <c:f>'Pivot &amp; Charts'!$U$2:$U$3</c:f>
              <c:strCache>
                <c:ptCount val="1"/>
                <c:pt idx="0">
                  <c:v>Nov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'Pivot &amp; Charts'!$J$4:$J$7</c:f>
              <c:strCache>
                <c:ptCount val="3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</c:strCache>
            </c:strRef>
          </c:cat>
          <c:val>
            <c:numRef>
              <c:f>'Pivot &amp; Charts'!$U$4:$U$7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0F6E-4585-8E48-3310FACB8ADD}"/>
            </c:ext>
          </c:extLst>
        </c:ser>
        <c:ser>
          <c:idx val="11"/>
          <c:order val="11"/>
          <c:tx>
            <c:strRef>
              <c:f>'Pivot &amp; Charts'!$V$2:$V$3</c:f>
              <c:strCache>
                <c:ptCount val="1"/>
                <c:pt idx="0">
                  <c:v>Dec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'Pivot &amp; Charts'!$J$4:$J$7</c:f>
              <c:strCache>
                <c:ptCount val="3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</c:strCache>
            </c:strRef>
          </c:cat>
          <c:val>
            <c:numRef>
              <c:f>'Pivot &amp; Charts'!$V$4:$V$7</c:f>
              <c:numCache>
                <c:formatCode>General</c:formatCode>
                <c:ptCount val="3"/>
                <c:pt idx="0">
                  <c:v>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0F6E-4585-8E48-3310FACB8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52718000"/>
        <c:axId val="1152721744"/>
        <c:axId val="0"/>
      </c:bar3DChart>
      <c:catAx>
        <c:axId val="115271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721744"/>
        <c:crosses val="autoZero"/>
        <c:auto val="1"/>
        <c:lblAlgn val="ctr"/>
        <c:lblOffset val="100"/>
        <c:noMultiLvlLbl val="0"/>
      </c:catAx>
      <c:valAx>
        <c:axId val="115272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71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[vba_exercise.xlsm]Pivot &amp; Charts!PivotTable2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Pen</a:t>
            </a:r>
            <a:r>
              <a:rPr lang="en-US" baseline="0"/>
              <a:t> sold in 2019/2020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'Pivot &amp; Charts'!$Z$2:$Z$3</c:f>
              <c:strCache>
                <c:ptCount val="1"/>
                <c:pt idx="0">
                  <c:v>Andrews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'Pivot &amp; Charts'!$Y$4:$Y$14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2019</c:v>
                  </c:pt>
                  <c:pt idx="4">
                    <c:v>2020</c:v>
                  </c:pt>
                </c:lvl>
              </c:multiLvlStrCache>
            </c:multiLvlStrRef>
          </c:cat>
          <c:val>
            <c:numRef>
              <c:f>'Pivot &amp; Charts'!$Z$4:$Z$14</c:f>
              <c:numCache>
                <c:formatCode>General</c:formatCode>
                <c:ptCount val="8"/>
                <c:pt idx="1">
                  <c:v>149.25</c:v>
                </c:pt>
                <c:pt idx="5">
                  <c:v>131.34</c:v>
                </c:pt>
                <c:pt idx="7">
                  <c:v>157.78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CC-44E5-8504-2CEE02561824}"/>
            </c:ext>
          </c:extLst>
        </c:ser>
        <c:ser>
          <c:idx val="1"/>
          <c:order val="1"/>
          <c:tx>
            <c:strRef>
              <c:f>'Pivot &amp; Charts'!$AA$2:$AA$3</c:f>
              <c:strCache>
                <c:ptCount val="1"/>
                <c:pt idx="0">
                  <c:v>Gill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'Pivot &amp; Charts'!$Y$4:$Y$14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2019</c:v>
                  </c:pt>
                  <c:pt idx="4">
                    <c:v>2020</c:v>
                  </c:pt>
                </c:lvl>
              </c:multiLvlStrCache>
            </c:multiLvlStrRef>
          </c:cat>
          <c:val>
            <c:numRef>
              <c:f>'Pivot &amp; Charts'!$AA$4:$AA$14</c:f>
              <c:numCache>
                <c:formatCode>General</c:formatCode>
                <c:ptCount val="8"/>
                <c:pt idx="0">
                  <c:v>539.7299999999999</c:v>
                </c:pt>
                <c:pt idx="4">
                  <c:v>413.54</c:v>
                </c:pt>
                <c:pt idx="5">
                  <c:v>787.57</c:v>
                </c:pt>
                <c:pt idx="6">
                  <c:v>9.0300000000000011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CC-44E5-8504-2CEE02561824}"/>
            </c:ext>
          </c:extLst>
        </c:ser>
        <c:ser>
          <c:idx val="2"/>
          <c:order val="2"/>
          <c:tx>
            <c:strRef>
              <c:f>'Pivot &amp; Charts'!$AB$2:$AB$3</c:f>
              <c:strCache>
                <c:ptCount val="1"/>
                <c:pt idx="0">
                  <c:v>Howard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'Pivot &amp; Charts'!$Y$4:$Y$14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2019</c:v>
                  </c:pt>
                  <c:pt idx="4">
                    <c:v>2020</c:v>
                  </c:pt>
                </c:lvl>
              </c:multiLvlStrCache>
            </c:multiLvlStrRef>
          </c:cat>
          <c:val>
            <c:numRef>
              <c:f>'Pivot &amp; Charts'!$AB$4:$AB$14</c:f>
              <c:numCache>
                <c:formatCode>General</c:formatCode>
                <c:ptCount val="8"/>
                <c:pt idx="2">
                  <c:v>57.71</c:v>
                </c:pt>
                <c:pt idx="5">
                  <c:v>479.04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CC-44E5-8504-2CEE02561824}"/>
            </c:ext>
          </c:extLst>
        </c:ser>
        <c:ser>
          <c:idx val="3"/>
          <c:order val="3"/>
          <c:tx>
            <c:strRef>
              <c:f>'Pivot &amp; Charts'!$AC$2:$AC$3</c:f>
              <c:strCache>
                <c:ptCount val="1"/>
                <c:pt idx="0">
                  <c:v>Jardine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'Pivot &amp; Charts'!$Y$4:$Y$14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2019</c:v>
                  </c:pt>
                  <c:pt idx="4">
                    <c:v>2020</c:v>
                  </c:pt>
                </c:lvl>
              </c:multiLvlStrCache>
            </c:multiLvlStrRef>
          </c:cat>
          <c:val>
            <c:numRef>
              <c:f>'Pivot &amp; Charts'!$AC$4:$AC$14</c:f>
              <c:numCache>
                <c:formatCode>General</c:formatCode>
                <c:ptCount val="8"/>
                <c:pt idx="0">
                  <c:v>179.64000000000001</c:v>
                </c:pt>
                <c:pt idx="1">
                  <c:v>449.1</c:v>
                </c:pt>
                <c:pt idx="4">
                  <c:v>249.5</c:v>
                </c:pt>
                <c:pt idx="7">
                  <c:v>1933.95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CC-44E5-8504-2CEE02561824}"/>
            </c:ext>
          </c:extLst>
        </c:ser>
        <c:ser>
          <c:idx val="4"/>
          <c:order val="4"/>
          <c:tx>
            <c:strRef>
              <c:f>'Pivot &amp; Charts'!$AD$2:$AD$3</c:f>
              <c:strCache>
                <c:ptCount val="1"/>
                <c:pt idx="0">
                  <c:v>Jones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'Pivot &amp; Charts'!$Y$4:$Y$14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2019</c:v>
                  </c:pt>
                  <c:pt idx="4">
                    <c:v>2020</c:v>
                  </c:pt>
                </c:lvl>
              </c:multiLvlStrCache>
            </c:multiLvlStrRef>
          </c:cat>
          <c:val>
            <c:numRef>
              <c:f>'Pivot &amp; Charts'!$AD$4:$AD$14</c:f>
              <c:numCache>
                <c:formatCode>General</c:formatCode>
                <c:ptCount val="8"/>
                <c:pt idx="0">
                  <c:v>189.05</c:v>
                </c:pt>
                <c:pt idx="1">
                  <c:v>838.8</c:v>
                </c:pt>
                <c:pt idx="2">
                  <c:v>430.49</c:v>
                </c:pt>
                <c:pt idx="3">
                  <c:v>575.36</c:v>
                </c:pt>
                <c:pt idx="4">
                  <c:v>19.96</c:v>
                </c:pt>
                <c:pt idx="6">
                  <c:v>309.38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CC-44E5-8504-2CEE02561824}"/>
            </c:ext>
          </c:extLst>
        </c:ser>
        <c:ser>
          <c:idx val="5"/>
          <c:order val="5"/>
          <c:tx>
            <c:strRef>
              <c:f>'Pivot &amp; Charts'!$AE$2:$AE$3</c:f>
              <c:strCache>
                <c:ptCount val="1"/>
                <c:pt idx="0">
                  <c:v>Kivell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'Pivot &amp; Charts'!$Y$4:$Y$14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2019</c:v>
                  </c:pt>
                  <c:pt idx="4">
                    <c:v>2020</c:v>
                  </c:pt>
                </c:lvl>
              </c:multiLvlStrCache>
            </c:multiLvlStrRef>
          </c:cat>
          <c:val>
            <c:numRef>
              <c:f>'Pivot &amp; Charts'!$AE$4:$AE$14</c:f>
              <c:numCache>
                <c:formatCode>General</c:formatCode>
                <c:ptCount val="8"/>
                <c:pt idx="0">
                  <c:v>999.49999999999989</c:v>
                </c:pt>
                <c:pt idx="3">
                  <c:v>479.04</c:v>
                </c:pt>
                <c:pt idx="5">
                  <c:v>625</c:v>
                </c:pt>
                <c:pt idx="6">
                  <c:v>1005.9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CC-44E5-8504-2CEE02561824}"/>
            </c:ext>
          </c:extLst>
        </c:ser>
        <c:ser>
          <c:idx val="6"/>
          <c:order val="6"/>
          <c:tx>
            <c:strRef>
              <c:f>'Pivot &amp; Charts'!$AF$2:$AF$3</c:f>
              <c:strCache>
                <c:ptCount val="1"/>
                <c:pt idx="0">
                  <c:v>Morgan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'Pivot &amp; Charts'!$Y$4:$Y$14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2019</c:v>
                  </c:pt>
                  <c:pt idx="4">
                    <c:v>2020</c:v>
                  </c:pt>
                </c:lvl>
              </c:multiLvlStrCache>
            </c:multiLvlStrRef>
          </c:cat>
          <c:val>
            <c:numRef>
              <c:f>'Pivot &amp; Charts'!$AF$4:$AF$14</c:f>
              <c:numCache>
                <c:formatCode>General</c:formatCode>
                <c:ptCount val="8"/>
                <c:pt idx="1">
                  <c:v>449.1</c:v>
                </c:pt>
                <c:pt idx="3">
                  <c:v>251.72</c:v>
                </c:pt>
                <c:pt idx="6">
                  <c:v>686.95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CC-44E5-8504-2CEE02561824}"/>
            </c:ext>
          </c:extLst>
        </c:ser>
        <c:ser>
          <c:idx val="7"/>
          <c:order val="7"/>
          <c:tx>
            <c:strRef>
              <c:f>'Pivot &amp; Charts'!$AG$2:$AG$3</c:f>
              <c:strCache>
                <c:ptCount val="1"/>
                <c:pt idx="0">
                  <c:v>Parent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'Pivot &amp; Charts'!$Y$4:$Y$14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2019</c:v>
                  </c:pt>
                  <c:pt idx="4">
                    <c:v>2020</c:v>
                  </c:pt>
                </c:lvl>
              </c:multiLvlStrCache>
            </c:multiLvlStrRef>
          </c:cat>
          <c:val>
            <c:numRef>
              <c:f>'Pivot &amp; Charts'!$AG$4:$AG$14</c:f>
              <c:numCache>
                <c:formatCode>General</c:formatCode>
                <c:ptCount val="8"/>
                <c:pt idx="2">
                  <c:v>1619.1899999999998</c:v>
                </c:pt>
                <c:pt idx="3">
                  <c:v>1483.11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CC-44E5-8504-2CEE02561824}"/>
            </c:ext>
          </c:extLst>
        </c:ser>
        <c:ser>
          <c:idx val="8"/>
          <c:order val="8"/>
          <c:tx>
            <c:strRef>
              <c:f>'Pivot &amp; Charts'!$AH$2:$AH$3</c:f>
              <c:strCache>
                <c:ptCount val="1"/>
                <c:pt idx="0">
                  <c:v>Smith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'Pivot &amp; Charts'!$Y$4:$Y$14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2019</c:v>
                  </c:pt>
                  <c:pt idx="4">
                    <c:v>2020</c:v>
                  </c:pt>
                </c:lvl>
              </c:multiLvlStrCache>
            </c:multiLvlStrRef>
          </c:cat>
          <c:val>
            <c:numRef>
              <c:f>'Pivot &amp; Charts'!$AH$4:$AH$14</c:f>
              <c:numCache>
                <c:formatCode>General</c:formatCode>
                <c:ptCount val="8"/>
                <c:pt idx="2">
                  <c:v>250</c:v>
                </c:pt>
                <c:pt idx="3">
                  <c:v>86.43</c:v>
                </c:pt>
                <c:pt idx="4">
                  <c:v>1305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CC-44E5-8504-2CEE02561824}"/>
            </c:ext>
          </c:extLst>
        </c:ser>
        <c:ser>
          <c:idx val="9"/>
          <c:order val="9"/>
          <c:tx>
            <c:strRef>
              <c:f>'Pivot &amp; Charts'!$AI$2:$AI$3</c:f>
              <c:strCache>
                <c:ptCount val="1"/>
                <c:pt idx="0">
                  <c:v>Sorvino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'Pivot &amp; Charts'!$Y$4:$Y$14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2019</c:v>
                  </c:pt>
                  <c:pt idx="4">
                    <c:v>2020</c:v>
                  </c:pt>
                </c:lvl>
              </c:multiLvlStrCache>
            </c:multiLvlStrRef>
          </c:cat>
          <c:val>
            <c:numRef>
              <c:f>'Pivot &amp; Charts'!$AI$4:$AI$14</c:f>
              <c:numCache>
                <c:formatCode>General</c:formatCode>
                <c:ptCount val="8"/>
                <c:pt idx="0">
                  <c:v>167.44</c:v>
                </c:pt>
                <c:pt idx="4">
                  <c:v>139.92999999999998</c:v>
                </c:pt>
                <c:pt idx="6">
                  <c:v>976.24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CC-44E5-8504-2CEE02561824}"/>
            </c:ext>
          </c:extLst>
        </c:ser>
        <c:ser>
          <c:idx val="10"/>
          <c:order val="10"/>
          <c:tx>
            <c:strRef>
              <c:f>'Pivot &amp; Charts'!$AJ$2:$AJ$3</c:f>
              <c:strCache>
                <c:ptCount val="1"/>
                <c:pt idx="0">
                  <c:v>Thompson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'Pivot &amp; Charts'!$Y$4:$Y$14</c:f>
              <c:multiLvlStrCache>
                <c:ptCount val="8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</c:lvl>
                <c:lvl>
                  <c:pt idx="0">
                    <c:v>2019</c:v>
                  </c:pt>
                  <c:pt idx="4">
                    <c:v>2020</c:v>
                  </c:pt>
                </c:lvl>
              </c:multiLvlStrCache>
            </c:multiLvlStrRef>
          </c:cat>
          <c:val>
            <c:numRef>
              <c:f>'Pivot &amp; Charts'!$AJ$4:$AJ$14</c:f>
              <c:numCache>
                <c:formatCode>General</c:formatCode>
                <c:ptCount val="8"/>
                <c:pt idx="1">
                  <c:v>63.68</c:v>
                </c:pt>
                <c:pt idx="7">
                  <c:v>1139.4299999999998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CC-44E5-8504-2CEE0256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29307984"/>
        <c:axId val="1229318384"/>
        <c:axId val="0"/>
      </c:bar3DChart>
      <c:catAx>
        <c:axId val="1229307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318384"/>
        <c:crosses val="autoZero"/>
        <c:auto val="1"/>
        <c:lblAlgn val="ctr"/>
        <c:lblOffset val="100"/>
        <c:noMultiLvlLbl val="0"/>
      </c:catAx>
      <c:valAx>
        <c:axId val="122931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30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399727866434064"/>
          <c:y val="7.2372895757779401E-2"/>
          <c:w val="0.1046625227765524"/>
          <c:h val="0.86702384190291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166408</xdr:colOff>
      <xdr:row>10</xdr:row>
      <xdr:rowOff>150721</xdr:rowOff>
    </xdr:from>
    <xdr:to>
      <xdr:col>7</xdr:col>
      <xdr:colOff>491378</xdr:colOff>
      <xdr:row>24</xdr:row>
      <xdr:rowOff>16250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95208" y="2103346"/>
          <a:ext cx="2763370" cy="2637304"/>
        </a:xfrm>
        <a:prstGeom prst="ellipse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 w="76200">
          <a:solidFill>
            <a:schemeClr val="accent6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515470</xdr:colOff>
      <xdr:row>8</xdr:row>
      <xdr:rowOff>0</xdr:rowOff>
    </xdr:from>
    <xdr:to>
      <xdr:col>23</xdr:col>
      <xdr:colOff>0</xdr:colOff>
      <xdr:row>32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A6ABD0-7514-4AB2-AFD3-8A39D6D7E6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14</xdr:row>
      <xdr:rowOff>179294</xdr:rowOff>
    </xdr:from>
    <xdr:to>
      <xdr:col>37</xdr:col>
      <xdr:colOff>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43FB73-06EB-4508-AA7B-0AF8578AB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lingo" refreshedDate="44367.450331597225" createdVersion="7" refreshedVersion="7" minRefreshableVersion="3" recordCount="43" xr:uid="{7C7409A2-279B-4976-A032-F3E8323D7818}">
  <cacheSource type="worksheet">
    <worksheetSource name="Table1"/>
  </cacheSource>
  <cacheFields count="9">
    <cacheField name="OrderDate" numFmtId="164">
      <sharedItems containsSemiMixedTypes="0" containsNonDate="0" containsDate="1" containsString="0" minDate="2019-01-06T00:00:00" maxDate="2020-12-22T00:00:00" count="43">
        <d v="2019-01-06T00:00:00"/>
        <d v="2019-01-23T00:00:00"/>
        <d v="2019-02-09T00:00:00"/>
        <d v="2019-02-26T00:00:00"/>
        <d v="2019-03-15T00:00:00"/>
        <d v="2019-04-01T00:00:00"/>
        <d v="2019-04-18T00:00:00"/>
        <d v="2019-05-05T00:00:00"/>
        <d v="2019-05-22T00:00:00"/>
        <d v="2019-06-08T00:00:00"/>
        <d v="2019-06-25T00:00:00"/>
        <d v="2019-07-12T00:00:00"/>
        <d v="2019-07-29T00:00:00"/>
        <d v="2019-08-15T00:00:00"/>
        <d v="2019-09-01T00:00:00"/>
        <d v="2019-09-18T00:00:00"/>
        <d v="2019-10-05T00:00:00"/>
        <d v="2019-10-22T00:00:00"/>
        <d v="2019-11-08T00:00:00"/>
        <d v="2019-11-25T00:00:00"/>
        <d v="2019-12-12T00:00:00"/>
        <d v="2019-12-29T00:00:00"/>
        <d v="2020-01-15T00:00:00"/>
        <d v="2020-02-01T00:00:00"/>
        <d v="2020-02-18T00:00:00"/>
        <d v="2020-03-07T00:00:00"/>
        <d v="2020-03-24T00:00:00"/>
        <d v="2020-04-10T00:00:00"/>
        <d v="2020-04-27T00:00:00"/>
        <d v="2020-05-14T00:00:00"/>
        <d v="2020-05-31T00:00:00"/>
        <d v="2020-06-17T00:00:00"/>
        <d v="2020-07-04T00:00:00"/>
        <d v="2020-07-21T00:00:00"/>
        <d v="2020-08-07T00:00:00"/>
        <d v="2020-08-24T00:00:00"/>
        <d v="2020-09-10T00:00:00"/>
        <d v="2020-09-27T00:00:00"/>
        <d v="2020-10-14T00:00:00"/>
        <d v="2020-10-31T00:00:00"/>
        <d v="2020-11-17T00:00:00"/>
        <d v="2020-12-04T00:00:00"/>
        <d v="2020-12-21T00:00:00"/>
      </sharedItems>
      <fieldGroup par="8" base="0">
        <rangePr groupBy="months" startDate="2019-01-06T00:00:00" endDate="2020-12-22T00:00:00"/>
        <groupItems count="14">
          <s v="&lt;1/6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2/2020"/>
        </groupItems>
      </fieldGroup>
    </cacheField>
    <cacheField name="Region" numFmtId="0">
      <sharedItems count="3">
        <s v="East"/>
        <s v="Central"/>
        <s v="West"/>
      </sharedItems>
    </cacheField>
    <cacheField name="Rep" numFmtId="0">
      <sharedItems count="11">
        <s v="Jones"/>
        <s v="Kivell"/>
        <s v="Jardine"/>
        <s v="Gill"/>
        <s v="Sorvino"/>
        <s v="Andrews"/>
        <s v="Thompson"/>
        <s v="Morgan"/>
        <s v="Howard"/>
        <s v="Parent"/>
        <s v="Smith"/>
      </sharedItems>
    </cacheField>
    <cacheField name="Item" numFmtId="0">
      <sharedItems count="5">
        <s v="Pencil"/>
        <s v="Binder"/>
        <s v="Pen"/>
        <s v="Desk"/>
        <s v="Pen Set"/>
      </sharedItems>
    </cacheField>
    <cacheField name="Units" numFmtId="0">
      <sharedItems containsSemiMixedTypes="0" containsString="0" containsNumber="1" containsInteger="1" minValue="2" maxValue="96" count="37">
        <n v="95"/>
        <n v="50"/>
        <n v="36"/>
        <n v="27"/>
        <n v="56"/>
        <n v="60"/>
        <n v="75"/>
        <n v="90"/>
        <n v="32"/>
        <n v="29"/>
        <n v="81"/>
        <n v="35"/>
        <n v="2"/>
        <n v="16"/>
        <n v="28"/>
        <n v="64"/>
        <n v="15"/>
        <n v="96"/>
        <n v="67"/>
        <n v="74"/>
        <n v="46"/>
        <n v="87"/>
        <n v="4"/>
        <n v="7"/>
        <n v="66"/>
        <n v="53"/>
        <n v="80"/>
        <n v="5"/>
        <n v="62"/>
        <n v="55"/>
        <n v="42"/>
        <n v="3"/>
        <n v="76"/>
        <n v="57"/>
        <n v="14"/>
        <n v="11"/>
        <n v="94"/>
      </sharedItems>
    </cacheField>
    <cacheField name="Unit Cost" numFmtId="43">
      <sharedItems containsSemiMixedTypes="0" containsString="0" containsNumber="1" minValue="1.29" maxValue="275" count="12">
        <n v="1.99"/>
        <n v="19.989999999999998"/>
        <n v="4.99"/>
        <n v="2.99"/>
        <n v="8.99"/>
        <n v="125"/>
        <n v="15.99"/>
        <n v="1.29"/>
        <n v="15"/>
        <n v="12.49"/>
        <n v="23.95"/>
        <n v="275"/>
      </sharedItems>
    </cacheField>
    <cacheField name="Total" numFmtId="43">
      <sharedItems containsSemiMixedTypes="0" containsString="0" containsNumber="1" minValue="9.0300000000000011" maxValue="1879.06"/>
    </cacheField>
    <cacheField name="Quarters" numFmtId="0" databaseField="0">
      <fieldGroup base="0">
        <rangePr groupBy="quarters" startDate="2019-01-06T00:00:00" endDate="2020-12-22T00:00:00"/>
        <groupItems count="6">
          <s v="&lt;1/6/2019"/>
          <s v="Qtr1"/>
          <s v="Qtr2"/>
          <s v="Qtr3"/>
          <s v="Qtr4"/>
          <s v="&gt;12/22/2020"/>
        </groupItems>
      </fieldGroup>
    </cacheField>
    <cacheField name="Years" numFmtId="0" databaseField="0">
      <fieldGroup base="0">
        <rangePr groupBy="years" startDate="2019-01-06T00:00:00" endDate="2020-12-22T00:00:00"/>
        <groupItems count="4">
          <s v="&lt;1/6/2019"/>
          <s v="2019"/>
          <s v="2020"/>
          <s v="&gt;12/22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x v="0"/>
    <x v="0"/>
    <x v="0"/>
    <x v="0"/>
    <x v="0"/>
    <n v="189.05"/>
  </r>
  <r>
    <x v="1"/>
    <x v="1"/>
    <x v="1"/>
    <x v="1"/>
    <x v="1"/>
    <x v="1"/>
    <n v="999.49999999999989"/>
  </r>
  <r>
    <x v="2"/>
    <x v="1"/>
    <x v="2"/>
    <x v="0"/>
    <x v="2"/>
    <x v="2"/>
    <n v="179.64000000000001"/>
  </r>
  <r>
    <x v="3"/>
    <x v="1"/>
    <x v="3"/>
    <x v="2"/>
    <x v="3"/>
    <x v="1"/>
    <n v="539.7299999999999"/>
  </r>
  <r>
    <x v="4"/>
    <x v="2"/>
    <x v="4"/>
    <x v="0"/>
    <x v="4"/>
    <x v="3"/>
    <n v="167.44"/>
  </r>
  <r>
    <x v="5"/>
    <x v="0"/>
    <x v="0"/>
    <x v="1"/>
    <x v="5"/>
    <x v="2"/>
    <n v="299.40000000000003"/>
  </r>
  <r>
    <x v="6"/>
    <x v="1"/>
    <x v="5"/>
    <x v="0"/>
    <x v="6"/>
    <x v="0"/>
    <n v="149.25"/>
  </r>
  <r>
    <x v="7"/>
    <x v="1"/>
    <x v="2"/>
    <x v="0"/>
    <x v="7"/>
    <x v="2"/>
    <n v="449.1"/>
  </r>
  <r>
    <x v="8"/>
    <x v="2"/>
    <x v="6"/>
    <x v="0"/>
    <x v="8"/>
    <x v="0"/>
    <n v="63.68"/>
  </r>
  <r>
    <x v="9"/>
    <x v="0"/>
    <x v="0"/>
    <x v="1"/>
    <x v="5"/>
    <x v="4"/>
    <n v="539.4"/>
  </r>
  <r>
    <x v="10"/>
    <x v="1"/>
    <x v="7"/>
    <x v="0"/>
    <x v="7"/>
    <x v="2"/>
    <n v="449.1"/>
  </r>
  <r>
    <x v="11"/>
    <x v="0"/>
    <x v="8"/>
    <x v="1"/>
    <x v="9"/>
    <x v="0"/>
    <n v="57.71"/>
  </r>
  <r>
    <x v="12"/>
    <x v="0"/>
    <x v="9"/>
    <x v="1"/>
    <x v="10"/>
    <x v="1"/>
    <n v="1619.1899999999998"/>
  </r>
  <r>
    <x v="13"/>
    <x v="0"/>
    <x v="0"/>
    <x v="0"/>
    <x v="11"/>
    <x v="2"/>
    <n v="174.65"/>
  </r>
  <r>
    <x v="14"/>
    <x v="1"/>
    <x v="10"/>
    <x v="3"/>
    <x v="12"/>
    <x v="5"/>
    <n v="250"/>
  </r>
  <r>
    <x v="15"/>
    <x v="0"/>
    <x v="0"/>
    <x v="4"/>
    <x v="13"/>
    <x v="6"/>
    <n v="255.84"/>
  </r>
  <r>
    <x v="16"/>
    <x v="1"/>
    <x v="7"/>
    <x v="1"/>
    <x v="14"/>
    <x v="4"/>
    <n v="251.72"/>
  </r>
  <r>
    <x v="17"/>
    <x v="0"/>
    <x v="0"/>
    <x v="2"/>
    <x v="15"/>
    <x v="4"/>
    <n v="575.36"/>
  </r>
  <r>
    <x v="18"/>
    <x v="0"/>
    <x v="9"/>
    <x v="2"/>
    <x v="16"/>
    <x v="1"/>
    <n v="299.84999999999997"/>
  </r>
  <r>
    <x v="19"/>
    <x v="1"/>
    <x v="1"/>
    <x v="4"/>
    <x v="17"/>
    <x v="2"/>
    <n v="479.04"/>
  </r>
  <r>
    <x v="20"/>
    <x v="1"/>
    <x v="10"/>
    <x v="0"/>
    <x v="18"/>
    <x v="7"/>
    <n v="86.43"/>
  </r>
  <r>
    <x v="21"/>
    <x v="0"/>
    <x v="9"/>
    <x v="4"/>
    <x v="19"/>
    <x v="6"/>
    <n v="1183.26"/>
  </r>
  <r>
    <x v="22"/>
    <x v="1"/>
    <x v="3"/>
    <x v="1"/>
    <x v="20"/>
    <x v="4"/>
    <n v="413.54"/>
  </r>
  <r>
    <x v="23"/>
    <x v="1"/>
    <x v="10"/>
    <x v="1"/>
    <x v="21"/>
    <x v="8"/>
    <n v="1305"/>
  </r>
  <r>
    <x v="24"/>
    <x v="0"/>
    <x v="0"/>
    <x v="1"/>
    <x v="22"/>
    <x v="2"/>
    <n v="19.96"/>
  </r>
  <r>
    <x v="25"/>
    <x v="2"/>
    <x v="4"/>
    <x v="1"/>
    <x v="23"/>
    <x v="1"/>
    <n v="139.92999999999998"/>
  </r>
  <r>
    <x v="26"/>
    <x v="1"/>
    <x v="2"/>
    <x v="4"/>
    <x v="1"/>
    <x v="2"/>
    <n v="249.5"/>
  </r>
  <r>
    <x v="27"/>
    <x v="1"/>
    <x v="5"/>
    <x v="0"/>
    <x v="24"/>
    <x v="0"/>
    <n v="131.34"/>
  </r>
  <r>
    <x v="28"/>
    <x v="0"/>
    <x v="8"/>
    <x v="2"/>
    <x v="17"/>
    <x v="2"/>
    <n v="479.04"/>
  </r>
  <r>
    <x v="29"/>
    <x v="1"/>
    <x v="3"/>
    <x v="0"/>
    <x v="25"/>
    <x v="7"/>
    <n v="68.37"/>
  </r>
  <r>
    <x v="30"/>
    <x v="1"/>
    <x v="3"/>
    <x v="1"/>
    <x v="26"/>
    <x v="4"/>
    <n v="719.2"/>
  </r>
  <r>
    <x v="31"/>
    <x v="1"/>
    <x v="1"/>
    <x v="3"/>
    <x v="27"/>
    <x v="5"/>
    <n v="625"/>
  </r>
  <r>
    <x v="32"/>
    <x v="0"/>
    <x v="0"/>
    <x v="4"/>
    <x v="28"/>
    <x v="2"/>
    <n v="309.38"/>
  </r>
  <r>
    <x v="33"/>
    <x v="1"/>
    <x v="7"/>
    <x v="4"/>
    <x v="29"/>
    <x v="9"/>
    <n v="686.95"/>
  </r>
  <r>
    <x v="34"/>
    <x v="1"/>
    <x v="1"/>
    <x v="4"/>
    <x v="30"/>
    <x v="10"/>
    <n v="1005.9"/>
  </r>
  <r>
    <x v="35"/>
    <x v="2"/>
    <x v="4"/>
    <x v="3"/>
    <x v="31"/>
    <x v="11"/>
    <n v="825"/>
  </r>
  <r>
    <x v="36"/>
    <x v="1"/>
    <x v="3"/>
    <x v="0"/>
    <x v="23"/>
    <x v="7"/>
    <n v="9.0300000000000011"/>
  </r>
  <r>
    <x v="37"/>
    <x v="2"/>
    <x v="4"/>
    <x v="2"/>
    <x v="32"/>
    <x v="0"/>
    <n v="151.24"/>
  </r>
  <r>
    <x v="38"/>
    <x v="2"/>
    <x v="6"/>
    <x v="1"/>
    <x v="33"/>
    <x v="1"/>
    <n v="1139.4299999999998"/>
  </r>
  <r>
    <x v="39"/>
    <x v="1"/>
    <x v="5"/>
    <x v="0"/>
    <x v="34"/>
    <x v="7"/>
    <n v="18.060000000000002"/>
  </r>
  <r>
    <x v="40"/>
    <x v="1"/>
    <x v="2"/>
    <x v="1"/>
    <x v="35"/>
    <x v="2"/>
    <n v="54.89"/>
  </r>
  <r>
    <x v="41"/>
    <x v="1"/>
    <x v="2"/>
    <x v="1"/>
    <x v="36"/>
    <x v="1"/>
    <n v="1879.06"/>
  </r>
  <r>
    <x v="42"/>
    <x v="1"/>
    <x v="5"/>
    <x v="1"/>
    <x v="14"/>
    <x v="2"/>
    <n v="139.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A5AA9C-C3FB-44F7-AA35-BD79F7B42F13}" name="PivotTable2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Y2:AK14" firstHeaderRow="1" firstDataRow="2" firstDataCol="1"/>
  <pivotFields count="9"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Col" showAll="0">
      <items count="12">
        <item x="5"/>
        <item x="3"/>
        <item x="8"/>
        <item x="2"/>
        <item x="0"/>
        <item x="1"/>
        <item x="7"/>
        <item x="9"/>
        <item x="10"/>
        <item x="4"/>
        <item x="6"/>
        <item t="default"/>
      </items>
    </pivotField>
    <pivotField showAll="0"/>
    <pivotField showAll="0"/>
    <pivotField numFmtId="43" showAll="0"/>
    <pivotField dataField="1" numFmtId="43"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axis="axisRow" showAll="0">
      <items count="5">
        <item x="0"/>
        <item x="1"/>
        <item x="2"/>
        <item x="3"/>
        <item t="default"/>
      </items>
    </pivotField>
  </pivotFields>
  <rowFields count="3">
    <field x="8"/>
    <field x="7"/>
    <field x="0"/>
  </rowFields>
  <rowItems count="11">
    <i>
      <x v="1"/>
    </i>
    <i r="1">
      <x v="1"/>
    </i>
    <i r="1">
      <x v="2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 t="grand">
      <x/>
    </i>
  </rowItems>
  <colFields count="1">
    <field x="2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 of Total" fld="6" baseField="0" baseItem="0"/>
  </dataFields>
  <chartFormats count="1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F29F9D-3607-4A03-9762-349832AF7C02}" name="PivotTable1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J2:W7" firstHeaderRow="1" firstDataRow="2" firstDataCol="1"/>
  <pivotFields count="9">
    <pivotField axis="axisCol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dataField="1" showAll="0">
      <items count="6">
        <item x="1"/>
        <item x="3"/>
        <item x="2"/>
        <item x="4"/>
        <item x="0"/>
        <item t="default"/>
      </items>
    </pivotField>
    <pivotField showAll="0">
      <items count="38">
        <item x="12"/>
        <item x="31"/>
        <item x="22"/>
        <item x="27"/>
        <item x="23"/>
        <item x="35"/>
        <item x="34"/>
        <item x="16"/>
        <item x="13"/>
        <item x="3"/>
        <item x="14"/>
        <item x="9"/>
        <item x="8"/>
        <item x="11"/>
        <item x="2"/>
        <item x="30"/>
        <item x="20"/>
        <item x="1"/>
        <item x="25"/>
        <item x="29"/>
        <item x="4"/>
        <item x="33"/>
        <item x="5"/>
        <item x="28"/>
        <item x="15"/>
        <item x="24"/>
        <item x="18"/>
        <item x="19"/>
        <item x="6"/>
        <item x="32"/>
        <item x="26"/>
        <item x="10"/>
        <item x="21"/>
        <item x="7"/>
        <item x="36"/>
        <item x="0"/>
        <item x="17"/>
        <item t="default"/>
      </items>
    </pivotField>
    <pivotField numFmtId="43" showAll="0">
      <items count="13">
        <item x="7"/>
        <item x="0"/>
        <item x="3"/>
        <item x="2"/>
        <item x="4"/>
        <item x="9"/>
        <item x="8"/>
        <item x="6"/>
        <item x="1"/>
        <item x="10"/>
        <item x="5"/>
        <item x="11"/>
        <item t="default"/>
      </items>
    </pivotField>
    <pivotField numFmtId="43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Item" fld="3" subtotal="count" baseField="0" baseItem="0"/>
  </dataFields>
  <chartFormats count="12">
    <chartFormat chart="0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75CFA-71A9-43BB-8D7A-863DA0D0B0C2}" name="Table1" displayName="Table1" ref="B2:H45" totalsRowShown="0">
  <autoFilter ref="B2:H45" xr:uid="{34ABA106-5916-4D85-B614-ED572DC09577}"/>
  <tableColumns count="7">
    <tableColumn id="1" xr3:uid="{AC768EBC-461B-492A-8A23-62CFF97EE671}" name="OrderDate"/>
    <tableColumn id="2" xr3:uid="{3E6F93EC-273F-4D74-971A-ED068B6A60D4}" name="Region"/>
    <tableColumn id="3" xr3:uid="{DE5FD0DA-5257-4EB7-A6E4-72340182AE8B}" name="Rep"/>
    <tableColumn id="4" xr3:uid="{B7641F36-418C-49AE-8E89-662B1D04B757}" name="Item"/>
    <tableColumn id="5" xr3:uid="{801F780A-9D4A-499E-85AD-05443F0E271F}" name="Units"/>
    <tableColumn id="6" xr3:uid="{0FC8AD4E-A57E-4D16-A5A4-1C27FB707239}" name="Unit Cost" dataDxfId="21"/>
    <tableColumn id="7" xr3:uid="{C4B37DFB-9F9C-4684-8D69-001CC4FF396E}" name="Total" dataDxfId="20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08AC58-F3CA-4F9F-B335-A1D22DB13800}" name="Table2" displayName="Table2" ref="B4:K478" totalsRowShown="0" headerRowDxfId="22" dataDxfId="23" headerRowCellStyle="Normal 2" dataCellStyle="Normal 2">
  <autoFilter ref="B4:K478" xr:uid="{6BB93964-87AF-40CD-92FB-6DAE529AC25C}"/>
  <sortState xmlns:xlrd2="http://schemas.microsoft.com/office/spreadsheetml/2017/richdata2" ref="B22:K460">
    <sortCondition descending="1" ref="G4:G478"/>
  </sortState>
  <tableColumns count="10">
    <tableColumn id="1" xr3:uid="{62D05726-A7CF-4360-BC57-6A3ABCE91B5B}" name="id" dataDxfId="33" dataCellStyle="Normal 2"/>
    <tableColumn id="2" xr3:uid="{D889EADD-42AD-4582-89D8-4773F1B09DB5}" name="gender" dataDxfId="32" dataCellStyle="Normal 2"/>
    <tableColumn id="3" xr3:uid="{0C22CB0F-2D48-412C-9E31-ACF8CB560B10}" name="bdate" dataDxfId="31" dataCellStyle="Normal 2"/>
    <tableColumn id="4" xr3:uid="{30010D00-837A-4355-B90C-9618CC714831}" name="educ" dataDxfId="30" dataCellStyle="Normal 2"/>
    <tableColumn id="5" xr3:uid="{2AF974CD-4496-483E-BE16-1F0046DD91AB}" name="jobcat" dataDxfId="29" dataCellStyle="Normal 2"/>
    <tableColumn id="6" xr3:uid="{897FA6B7-C7FB-4B3E-A2E6-EB08E1BB594F}" name="salary" dataDxfId="28" dataCellStyle="Normal 2"/>
    <tableColumn id="7" xr3:uid="{C43F4E86-EAA1-47EA-9828-6E5870D63044}" name="salbegin" dataDxfId="27" dataCellStyle="Normal 2"/>
    <tableColumn id="8" xr3:uid="{18F9D10E-D44D-479E-805A-0F1EBCB5659E}" name="jobtime" dataDxfId="26" dataCellStyle="Normal 2"/>
    <tableColumn id="9" xr3:uid="{D16EFA2F-3A4D-45EC-B2AE-B1332964D631}" name="prevexp" dataDxfId="25" dataCellStyle="Normal 2"/>
    <tableColumn id="10" xr3:uid="{A7BF5688-B79E-472D-A047-D35C6DF6AB39}" name="minority" dataDxfId="24" dataCellStyle="Normal 2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2012-234D-4FC9-BF8B-0AD9B74AB545}">
  <sheetPr codeName="Sheet2"/>
  <dimension ref="A1:AV47"/>
  <sheetViews>
    <sheetView zoomScaleNormal="100" workbookViewId="0">
      <selection activeCell="M6" sqref="M6"/>
    </sheetView>
  </sheetViews>
  <sheetFormatPr defaultRowHeight="15" x14ac:dyDescent="0.25"/>
  <cols>
    <col min="11" max="11" width="9.85546875" customWidth="1"/>
    <col min="12" max="42" width="3.7109375" customWidth="1"/>
  </cols>
  <sheetData>
    <row r="1" spans="1:48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</row>
    <row r="2" spans="1:48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</row>
    <row r="3" spans="1:48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</row>
    <row r="4" spans="1:48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</row>
    <row r="5" spans="1:48" ht="15.75" thickBot="1" x14ac:dyDescent="0.3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</row>
    <row r="6" spans="1:48" ht="15.75" thickBot="1" x14ac:dyDescent="0.3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58"/>
      <c r="M6" s="2"/>
      <c r="N6" s="5"/>
      <c r="O6" s="41"/>
      <c r="P6" s="42"/>
      <c r="Q6" s="13"/>
      <c r="R6" s="42"/>
      <c r="S6" s="42"/>
      <c r="T6" s="13"/>
      <c r="U6" s="29"/>
      <c r="V6" s="13"/>
      <c r="W6" s="13"/>
      <c r="X6" s="13"/>
      <c r="Y6" s="13"/>
      <c r="Z6" s="13"/>
      <c r="AA6" s="13"/>
      <c r="AB6" s="13"/>
      <c r="AC6" s="13"/>
      <c r="AD6" s="29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30"/>
      <c r="AQ6" s="43"/>
      <c r="AR6" s="43"/>
      <c r="AS6" s="43"/>
      <c r="AT6" s="43"/>
      <c r="AU6" s="43"/>
      <c r="AV6" s="43"/>
    </row>
    <row r="7" spans="1:48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57"/>
      <c r="M7" s="5"/>
      <c r="N7" s="5"/>
      <c r="O7" s="6"/>
      <c r="P7" s="6"/>
      <c r="Q7" s="6"/>
      <c r="R7" s="6"/>
      <c r="S7" s="6"/>
      <c r="T7" s="4"/>
      <c r="U7" s="8"/>
      <c r="V7" s="4"/>
      <c r="W7" s="4"/>
      <c r="X7" s="4"/>
      <c r="Y7" s="4"/>
      <c r="Z7" s="4"/>
      <c r="AA7" s="4"/>
      <c r="AB7" s="4"/>
      <c r="AC7" s="4"/>
      <c r="AD7" s="8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8"/>
      <c r="AQ7" s="43"/>
      <c r="AR7" s="43"/>
      <c r="AS7" s="43"/>
      <c r="AT7" s="43"/>
      <c r="AU7" s="43"/>
      <c r="AV7" s="43"/>
    </row>
    <row r="8" spans="1:48" ht="15.75" thickBot="1" x14ac:dyDescent="0.3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8"/>
      <c r="M8" s="5"/>
      <c r="N8" s="5"/>
      <c r="O8" s="6"/>
      <c r="P8" s="6"/>
      <c r="Q8" s="5"/>
      <c r="R8" s="6"/>
      <c r="S8" s="6"/>
      <c r="T8" s="6"/>
      <c r="U8" s="8"/>
      <c r="V8" s="6"/>
      <c r="W8" s="6"/>
      <c r="X8" s="6"/>
      <c r="Y8" s="6"/>
      <c r="Z8" s="6"/>
      <c r="AA8" s="6"/>
      <c r="AB8" s="6"/>
      <c r="AC8" s="6"/>
      <c r="AD8" s="8"/>
      <c r="AE8" s="6"/>
      <c r="AF8" s="4"/>
      <c r="AG8" s="4"/>
      <c r="AH8" s="4"/>
      <c r="AI8" s="4"/>
      <c r="AJ8" s="4"/>
      <c r="AK8" s="4"/>
      <c r="AL8" s="4"/>
      <c r="AM8" s="4"/>
      <c r="AN8" s="4"/>
      <c r="AO8" s="4"/>
      <c r="AP8" s="8"/>
      <c r="AQ8" s="43"/>
      <c r="AR8" s="43"/>
      <c r="AS8" s="43"/>
      <c r="AT8" s="43"/>
      <c r="AU8" s="43"/>
      <c r="AV8" s="43"/>
    </row>
    <row r="9" spans="1:48" ht="15.75" thickBot="1" x14ac:dyDescent="0.3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8"/>
      <c r="M9" s="5"/>
      <c r="N9" s="5"/>
      <c r="O9" s="3"/>
      <c r="P9" s="3"/>
      <c r="Q9" s="3"/>
      <c r="R9" s="4"/>
      <c r="S9" s="6"/>
      <c r="T9" s="4"/>
      <c r="U9" s="8"/>
      <c r="V9" s="4"/>
      <c r="W9" s="6"/>
      <c r="X9" s="4"/>
      <c r="Y9" s="27"/>
      <c r="Z9" s="4"/>
      <c r="AA9" s="4"/>
      <c r="AB9" s="6"/>
      <c r="AC9" s="6"/>
      <c r="AD9" s="8"/>
      <c r="AE9" s="4"/>
      <c r="AF9" s="6"/>
      <c r="AG9" s="6"/>
      <c r="AH9" s="6"/>
      <c r="AI9" s="6"/>
      <c r="AJ9" s="6"/>
      <c r="AK9" s="6"/>
      <c r="AL9" s="6"/>
      <c r="AM9" s="6"/>
      <c r="AN9" s="6"/>
      <c r="AO9" s="6"/>
      <c r="AP9" s="57"/>
      <c r="AQ9" s="43"/>
      <c r="AR9" s="43"/>
      <c r="AS9" s="43"/>
      <c r="AT9" s="43"/>
      <c r="AU9" s="43"/>
      <c r="AV9" s="43"/>
    </row>
    <row r="10" spans="1:48" ht="15.75" thickBot="1" x14ac:dyDescent="0.3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8"/>
      <c r="M10" s="6"/>
      <c r="N10" s="6"/>
      <c r="O10" s="24"/>
      <c r="P10" s="11"/>
      <c r="Q10" s="11"/>
      <c r="R10" s="25"/>
      <c r="S10" s="6"/>
      <c r="T10" s="4"/>
      <c r="U10" s="8"/>
      <c r="V10" s="6"/>
      <c r="W10" s="6"/>
      <c r="X10" s="6"/>
      <c r="Y10" s="16"/>
      <c r="Z10" s="6"/>
      <c r="AA10" s="6"/>
      <c r="AB10" s="6"/>
      <c r="AC10" s="6"/>
      <c r="AD10" s="8"/>
      <c r="AE10" s="4"/>
      <c r="AF10" s="6"/>
      <c r="AG10" s="4"/>
      <c r="AH10" s="4"/>
      <c r="AI10" s="4"/>
      <c r="AJ10" s="4"/>
      <c r="AK10" s="4"/>
      <c r="AL10" s="4"/>
      <c r="AM10" s="4"/>
      <c r="AN10" s="6"/>
      <c r="AO10" s="6"/>
      <c r="AP10" s="8"/>
      <c r="AQ10" s="43"/>
      <c r="AR10" s="43"/>
      <c r="AS10" s="43"/>
      <c r="AT10" s="43"/>
      <c r="AU10" s="43"/>
      <c r="AV10" s="43"/>
    </row>
    <row r="11" spans="1:48" ht="15.75" thickBot="1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8"/>
      <c r="M11" s="5"/>
      <c r="N11" s="6"/>
      <c r="O11" s="8"/>
      <c r="P11" s="4"/>
      <c r="Q11" s="4"/>
      <c r="R11" s="16"/>
      <c r="S11" s="6"/>
      <c r="T11" s="4"/>
      <c r="U11" s="8"/>
      <c r="V11" s="6"/>
      <c r="W11" s="6"/>
      <c r="X11" s="10"/>
      <c r="Y11" s="21"/>
      <c r="Z11" s="11"/>
      <c r="AA11" s="25"/>
      <c r="AB11" s="6"/>
      <c r="AC11" s="6"/>
      <c r="AD11" s="9"/>
      <c r="AE11" s="4"/>
      <c r="AF11" s="6"/>
      <c r="AG11" s="24"/>
      <c r="AH11" s="11"/>
      <c r="AI11" s="11"/>
      <c r="AJ11" s="22"/>
      <c r="AK11" s="11"/>
      <c r="AL11" s="11"/>
      <c r="AM11" s="12"/>
      <c r="AN11" s="6"/>
      <c r="AO11" s="6"/>
      <c r="AP11" s="8"/>
      <c r="AQ11" s="43"/>
      <c r="AR11" s="43"/>
      <c r="AS11" s="43"/>
      <c r="AT11" s="43"/>
      <c r="AU11" s="43"/>
      <c r="AV11" s="43"/>
    </row>
    <row r="12" spans="1:48" ht="15.75" thickBot="1" x14ac:dyDescent="0.3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8"/>
      <c r="M12" s="6"/>
      <c r="N12" s="5"/>
      <c r="O12" s="8"/>
      <c r="P12" s="4"/>
      <c r="Q12" s="4"/>
      <c r="R12" s="17"/>
      <c r="S12" s="6"/>
      <c r="T12" s="4"/>
      <c r="U12" s="8"/>
      <c r="V12" s="6"/>
      <c r="W12" s="6"/>
      <c r="X12" s="4"/>
      <c r="Y12" s="4"/>
      <c r="Z12" s="4"/>
      <c r="AA12" s="8"/>
      <c r="AB12" s="6"/>
      <c r="AC12" s="6"/>
      <c r="AD12" s="6"/>
      <c r="AE12" s="6"/>
      <c r="AF12" s="6"/>
      <c r="AG12" s="8"/>
      <c r="AH12" s="4"/>
      <c r="AI12" s="4"/>
      <c r="AJ12" s="8"/>
      <c r="AK12" s="4"/>
      <c r="AL12" s="6"/>
      <c r="AM12" s="6"/>
      <c r="AN12" s="6"/>
      <c r="AO12" s="6"/>
      <c r="AP12" s="8"/>
      <c r="AQ12" s="43"/>
      <c r="AR12" s="43"/>
      <c r="AS12" s="43"/>
      <c r="AT12" s="43"/>
      <c r="AU12" s="43"/>
      <c r="AV12" s="43"/>
    </row>
    <row r="13" spans="1:48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8"/>
      <c r="M13" s="6"/>
      <c r="N13" s="6"/>
      <c r="O13" s="8"/>
      <c r="P13" s="4"/>
      <c r="Q13" s="4"/>
      <c r="R13" s="4"/>
      <c r="S13" s="4"/>
      <c r="T13" s="4"/>
      <c r="U13" s="8"/>
      <c r="V13" s="6"/>
      <c r="W13" s="6"/>
      <c r="X13" s="6"/>
      <c r="Y13" s="6"/>
      <c r="Z13" s="4"/>
      <c r="AA13" s="8"/>
      <c r="AB13" s="6"/>
      <c r="AC13" s="6"/>
      <c r="AD13" s="6"/>
      <c r="AE13" s="6"/>
      <c r="AF13" s="6"/>
      <c r="AG13" s="8"/>
      <c r="AH13" s="4"/>
      <c r="AI13" s="4"/>
      <c r="AJ13" s="8"/>
      <c r="AK13" s="4"/>
      <c r="AL13" s="6"/>
      <c r="AM13" s="6"/>
      <c r="AN13" s="6"/>
      <c r="AO13" s="4"/>
      <c r="AP13" s="8"/>
      <c r="AQ13" s="43"/>
      <c r="AR13" s="43"/>
      <c r="AS13" s="43"/>
      <c r="AT13" s="43"/>
      <c r="AU13" s="43"/>
      <c r="AV13" s="43"/>
    </row>
    <row r="14" spans="1:48" ht="15.75" thickBot="1" x14ac:dyDescent="0.3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8"/>
      <c r="M14" s="6"/>
      <c r="N14" s="6"/>
      <c r="O14" s="8"/>
      <c r="P14" s="4"/>
      <c r="Q14" s="4"/>
      <c r="R14" s="4"/>
      <c r="S14" s="4"/>
      <c r="T14" s="4"/>
      <c r="U14" s="8"/>
      <c r="V14" s="4"/>
      <c r="W14" s="4"/>
      <c r="X14" s="6"/>
      <c r="Y14" s="6"/>
      <c r="Z14" s="4"/>
      <c r="AA14" s="8"/>
      <c r="AB14" s="4"/>
      <c r="AC14" s="4"/>
      <c r="AD14" s="4"/>
      <c r="AE14" s="4"/>
      <c r="AF14" s="4"/>
      <c r="AG14" s="8"/>
      <c r="AH14" s="4"/>
      <c r="AI14" s="4"/>
      <c r="AJ14" s="8"/>
      <c r="AK14" s="4"/>
      <c r="AL14" s="6"/>
      <c r="AM14" s="4"/>
      <c r="AN14" s="4"/>
      <c r="AO14" s="4"/>
      <c r="AP14" s="8"/>
      <c r="AQ14" s="43"/>
      <c r="AR14" s="43"/>
      <c r="AS14" s="43"/>
      <c r="AT14" s="43"/>
      <c r="AU14" s="43"/>
      <c r="AV14" s="43"/>
    </row>
    <row r="15" spans="1:48" ht="15.75" thickBot="1" x14ac:dyDescent="0.3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8"/>
      <c r="M15" s="6"/>
      <c r="N15" s="6"/>
      <c r="O15" s="8"/>
      <c r="P15" s="4"/>
      <c r="Q15" s="4"/>
      <c r="R15" s="4"/>
      <c r="S15" s="4"/>
      <c r="T15" s="4"/>
      <c r="U15" s="8"/>
      <c r="V15" s="4"/>
      <c r="W15" s="4"/>
      <c r="X15" s="6"/>
      <c r="Y15" s="6"/>
      <c r="Z15" s="4"/>
      <c r="AA15" s="8"/>
      <c r="AB15" s="4"/>
      <c r="AC15" s="4"/>
      <c r="AD15" s="4"/>
      <c r="AE15" s="4"/>
      <c r="AF15" s="4"/>
      <c r="AG15" s="8"/>
      <c r="AH15" s="4"/>
      <c r="AI15" s="4"/>
      <c r="AJ15" s="8"/>
      <c r="AK15" s="4"/>
      <c r="AL15" s="6"/>
      <c r="AM15" s="24"/>
      <c r="AN15" s="11"/>
      <c r="AO15" s="11"/>
      <c r="AP15" s="28"/>
      <c r="AQ15" s="43"/>
      <c r="AR15" s="43"/>
      <c r="AS15" s="43"/>
      <c r="AT15" s="43"/>
      <c r="AU15" s="43"/>
      <c r="AV15" s="43"/>
    </row>
    <row r="16" spans="1:48" ht="15.75" thickBot="1" x14ac:dyDescent="0.3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8"/>
      <c r="M16" s="6"/>
      <c r="N16" s="6"/>
      <c r="O16" s="20"/>
      <c r="P16" s="11"/>
      <c r="Q16" s="11"/>
      <c r="R16" s="11"/>
      <c r="S16" s="11"/>
      <c r="T16" s="11"/>
      <c r="U16" s="21"/>
      <c r="V16" s="11"/>
      <c r="W16" s="25"/>
      <c r="X16" s="6"/>
      <c r="Y16" s="6"/>
      <c r="Z16" s="4"/>
      <c r="AA16" s="20"/>
      <c r="AB16" s="11"/>
      <c r="AC16" s="22"/>
      <c r="AD16" s="12"/>
      <c r="AE16" s="4"/>
      <c r="AF16" s="4"/>
      <c r="AG16" s="8"/>
      <c r="AH16" s="4"/>
      <c r="AI16" s="4"/>
      <c r="AJ16" s="8"/>
      <c r="AK16" s="4"/>
      <c r="AL16" s="6"/>
      <c r="AM16" s="8"/>
      <c r="AN16" s="4"/>
      <c r="AO16" s="4"/>
      <c r="AP16" s="8"/>
      <c r="AQ16" s="43"/>
      <c r="AR16" s="43"/>
      <c r="AS16" s="43"/>
      <c r="AT16" s="43"/>
      <c r="AU16" s="43"/>
      <c r="AV16" s="43"/>
    </row>
    <row r="17" spans="1:48" ht="15.75" thickBot="1" x14ac:dyDescent="0.3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8"/>
      <c r="M17" s="6"/>
      <c r="N17" s="6"/>
      <c r="O17" s="6"/>
      <c r="P17" s="6"/>
      <c r="Q17" s="6"/>
      <c r="R17" s="6"/>
      <c r="S17" s="4"/>
      <c r="T17" s="4"/>
      <c r="U17" s="4"/>
      <c r="V17" s="4"/>
      <c r="W17" s="8"/>
      <c r="X17" s="6"/>
      <c r="Y17" s="6"/>
      <c r="Z17" s="4"/>
      <c r="AA17" s="4"/>
      <c r="AB17" s="4"/>
      <c r="AC17" s="8"/>
      <c r="AD17" s="4"/>
      <c r="AE17" s="4"/>
      <c r="AF17" s="4"/>
      <c r="AG17" s="16"/>
      <c r="AH17" s="4"/>
      <c r="AI17" s="4"/>
      <c r="AJ17" s="8"/>
      <c r="AK17" s="4"/>
      <c r="AL17" s="6"/>
      <c r="AM17" s="8"/>
      <c r="AN17" s="4"/>
      <c r="AO17" s="4"/>
      <c r="AP17" s="8"/>
      <c r="AQ17" s="43"/>
      <c r="AR17" s="43"/>
      <c r="AS17" s="43"/>
      <c r="AT17" s="43"/>
      <c r="AU17" s="43"/>
      <c r="AV17" s="43"/>
    </row>
    <row r="18" spans="1:48" ht="15.75" thickBot="1" x14ac:dyDescent="0.3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8"/>
      <c r="M18" s="6"/>
      <c r="N18" s="6"/>
      <c r="O18" s="6"/>
      <c r="P18" s="6"/>
      <c r="Q18" s="6"/>
      <c r="R18" s="6"/>
      <c r="S18" s="4"/>
      <c r="T18" s="4"/>
      <c r="U18" s="4"/>
      <c r="V18" s="4"/>
      <c r="W18" s="8"/>
      <c r="X18" s="6"/>
      <c r="Y18" s="6"/>
      <c r="Z18" s="4"/>
      <c r="AA18" s="4"/>
      <c r="AB18" s="4"/>
      <c r="AC18" s="8"/>
      <c r="AD18" s="4"/>
      <c r="AE18" s="4"/>
      <c r="AF18" s="18"/>
      <c r="AG18" s="26"/>
      <c r="AH18" s="4"/>
      <c r="AI18" s="4"/>
      <c r="AJ18" s="8"/>
      <c r="AK18" s="4"/>
      <c r="AL18" s="6"/>
      <c r="AM18" s="8"/>
      <c r="AN18" s="4"/>
      <c r="AO18" s="4"/>
      <c r="AP18" s="8"/>
      <c r="AQ18" s="43"/>
      <c r="AR18" s="43"/>
      <c r="AS18" s="43"/>
      <c r="AT18" s="43"/>
      <c r="AU18" s="43"/>
      <c r="AV18" s="43"/>
    </row>
    <row r="19" spans="1:48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8"/>
      <c r="M19" s="6"/>
      <c r="N19" s="6"/>
      <c r="O19" s="6"/>
      <c r="P19" s="6"/>
      <c r="Q19" s="6"/>
      <c r="R19" s="6"/>
      <c r="S19" s="4"/>
      <c r="T19" s="4"/>
      <c r="U19" s="4"/>
      <c r="V19" s="4"/>
      <c r="W19" s="8"/>
      <c r="X19" s="6"/>
      <c r="Y19" s="6"/>
      <c r="Z19" s="4"/>
      <c r="AA19" s="4"/>
      <c r="AB19" s="4"/>
      <c r="AC19" s="8"/>
      <c r="AD19" s="4"/>
      <c r="AE19" s="4"/>
      <c r="AF19" s="4"/>
      <c r="AG19" s="4"/>
      <c r="AH19" s="4"/>
      <c r="AI19" s="4"/>
      <c r="AJ19" s="8"/>
      <c r="AK19" s="4"/>
      <c r="AL19" s="6"/>
      <c r="AM19" s="8"/>
      <c r="AN19" s="4"/>
      <c r="AO19" s="4"/>
      <c r="AP19" s="8"/>
      <c r="AQ19" s="43"/>
      <c r="AR19" s="43"/>
      <c r="AS19" s="43"/>
      <c r="AT19" s="43"/>
      <c r="AU19" s="43"/>
      <c r="AV19" s="43"/>
    </row>
    <row r="20" spans="1:48" ht="15.75" thickBot="1" x14ac:dyDescent="0.3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8"/>
      <c r="M20" s="6"/>
      <c r="N20" s="4"/>
      <c r="O20" s="4"/>
      <c r="P20" s="4"/>
      <c r="Q20" s="6"/>
      <c r="R20" s="6"/>
      <c r="S20" s="4"/>
      <c r="T20" s="4"/>
      <c r="U20" s="4"/>
      <c r="V20" s="4"/>
      <c r="W20" s="8"/>
      <c r="X20" s="6"/>
      <c r="Y20" s="6"/>
      <c r="Z20" s="4"/>
      <c r="AA20" s="4"/>
      <c r="AB20" s="4"/>
      <c r="AC20" s="8"/>
      <c r="AD20" s="4"/>
      <c r="AE20" s="4"/>
      <c r="AF20" s="4"/>
      <c r="AG20" s="4"/>
      <c r="AH20" s="4"/>
      <c r="AI20" s="4"/>
      <c r="AJ20" s="8"/>
      <c r="AK20" s="4"/>
      <c r="AL20" s="6"/>
      <c r="AM20" s="8"/>
      <c r="AN20" s="4"/>
      <c r="AO20" s="4"/>
      <c r="AP20" s="8"/>
      <c r="AQ20" s="43"/>
      <c r="AR20" s="43"/>
      <c r="AS20" s="43"/>
      <c r="AT20" s="43"/>
      <c r="AU20" s="43"/>
      <c r="AV20" s="43"/>
    </row>
    <row r="21" spans="1:48" ht="15.75" thickBot="1" x14ac:dyDescent="0.3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19"/>
      <c r="M21" s="11"/>
      <c r="N21" s="11"/>
      <c r="O21" s="14"/>
      <c r="P21" s="15"/>
      <c r="Q21" s="6"/>
      <c r="R21" s="6"/>
      <c r="S21" s="24"/>
      <c r="T21" s="11"/>
      <c r="U21" s="11"/>
      <c r="V21" s="11"/>
      <c r="W21" s="23"/>
      <c r="X21" s="6"/>
      <c r="Y21" s="6"/>
      <c r="Z21" s="4"/>
      <c r="AA21" s="4"/>
      <c r="AB21" s="4"/>
      <c r="AC21" s="20"/>
      <c r="AD21" s="11"/>
      <c r="AE21" s="22"/>
      <c r="AF21" s="11"/>
      <c r="AG21" s="11"/>
      <c r="AH21" s="11"/>
      <c r="AI21" s="11"/>
      <c r="AJ21" s="23"/>
      <c r="AK21" s="4"/>
      <c r="AL21" s="6"/>
      <c r="AM21" s="8"/>
      <c r="AN21" s="4"/>
      <c r="AO21" s="4"/>
      <c r="AP21" s="8"/>
      <c r="AQ21" s="43"/>
      <c r="AR21" s="43"/>
      <c r="AS21" s="43"/>
      <c r="AT21" s="43"/>
      <c r="AU21" s="43"/>
      <c r="AV21" s="43"/>
    </row>
    <row r="22" spans="1:48" ht="15.75" thickBot="1" x14ac:dyDescent="0.3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8"/>
      <c r="M22" s="6"/>
      <c r="N22" s="4"/>
      <c r="O22" s="4"/>
      <c r="P22" s="4"/>
      <c r="Q22" s="6"/>
      <c r="R22" s="6"/>
      <c r="S22" s="8"/>
      <c r="T22" s="4"/>
      <c r="U22" s="4"/>
      <c r="V22" s="4"/>
      <c r="W22" s="4"/>
      <c r="X22" s="6"/>
      <c r="Y22" s="6"/>
      <c r="Z22" s="18"/>
      <c r="AA22" s="25"/>
      <c r="AB22" s="4"/>
      <c r="AC22" s="4"/>
      <c r="AD22" s="4"/>
      <c r="AE22" s="8"/>
      <c r="AF22" s="4"/>
      <c r="AG22" s="4"/>
      <c r="AH22" s="4"/>
      <c r="AI22" s="4"/>
      <c r="AJ22" s="4"/>
      <c r="AK22" s="4"/>
      <c r="AL22" s="6"/>
      <c r="AM22" s="17"/>
      <c r="AN22" s="4"/>
      <c r="AO22" s="4"/>
      <c r="AP22" s="8"/>
      <c r="AQ22" s="43"/>
      <c r="AR22" s="43"/>
      <c r="AS22" s="43"/>
      <c r="AT22" s="43"/>
      <c r="AU22" s="43"/>
      <c r="AV22" s="43"/>
    </row>
    <row r="23" spans="1:48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8"/>
      <c r="M23" s="6"/>
      <c r="N23" s="6"/>
      <c r="O23" s="6"/>
      <c r="P23" s="6"/>
      <c r="Q23" s="6"/>
      <c r="R23" s="6"/>
      <c r="S23" s="8"/>
      <c r="T23" s="6"/>
      <c r="U23" s="6"/>
      <c r="V23" s="6"/>
      <c r="W23" s="6"/>
      <c r="X23" s="6"/>
      <c r="Y23" s="6"/>
      <c r="Z23" s="4"/>
      <c r="AA23" s="8"/>
      <c r="AB23" s="4"/>
      <c r="AC23" s="4"/>
      <c r="AD23" s="4"/>
      <c r="AE23" s="8"/>
      <c r="AF23" s="6"/>
      <c r="AG23" s="6"/>
      <c r="AH23" s="6"/>
      <c r="AI23" s="6"/>
      <c r="AJ23" s="6"/>
      <c r="AK23" s="6"/>
      <c r="AL23" s="6"/>
      <c r="AM23" s="4"/>
      <c r="AN23" s="4"/>
      <c r="AO23" s="4"/>
      <c r="AP23" s="8"/>
      <c r="AQ23" s="43"/>
      <c r="AR23" s="43"/>
      <c r="AS23" s="43"/>
      <c r="AT23" s="43"/>
      <c r="AU23" s="43"/>
      <c r="AV23" s="43"/>
    </row>
    <row r="24" spans="1:48" ht="15.75" thickBot="1" x14ac:dyDescent="0.3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8"/>
      <c r="M24" s="6"/>
      <c r="N24" s="6"/>
      <c r="O24" s="4"/>
      <c r="P24" s="4"/>
      <c r="Q24" s="4"/>
      <c r="R24" s="4"/>
      <c r="S24" s="8"/>
      <c r="T24" s="6"/>
      <c r="U24" s="6"/>
      <c r="V24" s="6"/>
      <c r="W24" s="6"/>
      <c r="X24" s="6"/>
      <c r="Y24" s="6"/>
      <c r="Z24" s="4"/>
      <c r="AA24" s="8"/>
      <c r="AB24" s="4"/>
      <c r="AC24" s="4"/>
      <c r="AD24" s="4"/>
      <c r="AE24" s="8"/>
      <c r="AF24" s="6"/>
      <c r="AG24" s="4"/>
      <c r="AH24" s="4"/>
      <c r="AI24" s="4"/>
      <c r="AJ24" s="4"/>
      <c r="AK24" s="4"/>
      <c r="AL24" s="4"/>
      <c r="AM24" s="4"/>
      <c r="AN24" s="4"/>
      <c r="AO24" s="4"/>
      <c r="AP24" s="8"/>
      <c r="AQ24" s="43"/>
      <c r="AR24" s="43"/>
      <c r="AS24" s="43"/>
      <c r="AT24" s="43"/>
      <c r="AU24" s="43"/>
      <c r="AV24" s="43"/>
    </row>
    <row r="25" spans="1:48" ht="15.75" thickBot="1" x14ac:dyDescent="0.3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8"/>
      <c r="M25" s="6"/>
      <c r="N25" s="6"/>
      <c r="O25" s="10"/>
      <c r="P25" s="11"/>
      <c r="Q25" s="11"/>
      <c r="R25" s="11"/>
      <c r="S25" s="23"/>
      <c r="T25" s="6"/>
      <c r="U25" s="6"/>
      <c r="V25" s="18"/>
      <c r="W25" s="22"/>
      <c r="X25" s="15"/>
      <c r="Y25" s="4"/>
      <c r="Z25" s="4"/>
      <c r="AA25" s="8"/>
      <c r="AB25" s="4"/>
      <c r="AC25" s="4"/>
      <c r="AD25" s="4"/>
      <c r="AE25" s="8"/>
      <c r="AF25" s="6"/>
      <c r="AG25" s="4"/>
      <c r="AH25" s="10"/>
      <c r="AI25" s="11"/>
      <c r="AJ25" s="11"/>
      <c r="AK25" s="11"/>
      <c r="AL25" s="11"/>
      <c r="AM25" s="11"/>
      <c r="AN25" s="11"/>
      <c r="AO25" s="11"/>
      <c r="AP25" s="28"/>
      <c r="AQ25" s="43"/>
      <c r="AR25" s="43"/>
      <c r="AS25" s="43"/>
      <c r="AT25" s="43"/>
      <c r="AU25" s="43"/>
      <c r="AV25" s="43"/>
    </row>
    <row r="26" spans="1:48" ht="15.75" thickBot="1" x14ac:dyDescent="0.3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8"/>
      <c r="M26" s="6"/>
      <c r="N26" s="6"/>
      <c r="O26" s="6"/>
      <c r="P26" s="6"/>
      <c r="Q26" s="6"/>
      <c r="R26" s="6"/>
      <c r="S26" s="6"/>
      <c r="T26" s="6"/>
      <c r="U26" s="6"/>
      <c r="V26" s="6"/>
      <c r="W26" s="8"/>
      <c r="X26" s="6"/>
      <c r="Y26" s="6"/>
      <c r="Z26" s="6"/>
      <c r="AA26" s="20"/>
      <c r="AB26" s="11"/>
      <c r="AC26" s="22"/>
      <c r="AD26" s="11"/>
      <c r="AE26" s="23"/>
      <c r="AF26" s="6"/>
      <c r="AG26" s="4"/>
      <c r="AH26" s="4"/>
      <c r="AI26" s="4"/>
      <c r="AJ26" s="4"/>
      <c r="AK26" s="4"/>
      <c r="AL26" s="4"/>
      <c r="AM26" s="6"/>
      <c r="AN26" s="6"/>
      <c r="AO26" s="4"/>
      <c r="AP26" s="8"/>
      <c r="AQ26" s="43"/>
      <c r="AR26" s="43"/>
      <c r="AS26" s="43"/>
      <c r="AT26" s="43"/>
      <c r="AU26" s="43"/>
      <c r="AV26" s="43"/>
    </row>
    <row r="27" spans="1:48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8"/>
      <c r="M27" s="6"/>
      <c r="N27" s="6"/>
      <c r="O27" s="6"/>
      <c r="P27" s="6"/>
      <c r="Q27" s="6"/>
      <c r="R27" s="6"/>
      <c r="S27" s="6"/>
      <c r="T27" s="6"/>
      <c r="U27" s="6"/>
      <c r="V27" s="4"/>
      <c r="W27" s="8"/>
      <c r="X27" s="4"/>
      <c r="Y27" s="4"/>
      <c r="Z27" s="4"/>
      <c r="AA27" s="4"/>
      <c r="AB27" s="4"/>
      <c r="AC27" s="8"/>
      <c r="AD27" s="4"/>
      <c r="AE27" s="4"/>
      <c r="AF27" s="6"/>
      <c r="AG27" s="6"/>
      <c r="AH27" s="6"/>
      <c r="AI27" s="6"/>
      <c r="AJ27" s="6"/>
      <c r="AK27" s="6"/>
      <c r="AL27" s="6"/>
      <c r="AM27" s="5"/>
      <c r="AN27" s="7"/>
      <c r="AO27" s="5"/>
      <c r="AP27" s="8"/>
      <c r="AQ27" s="43"/>
      <c r="AR27" s="43"/>
      <c r="AS27" s="43"/>
      <c r="AT27" s="43"/>
      <c r="AU27" s="43"/>
      <c r="AV27" s="43"/>
    </row>
    <row r="28" spans="1:48" ht="15.75" thickBot="1" x14ac:dyDescent="0.3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8"/>
      <c r="M28" s="4"/>
      <c r="N28" s="6"/>
      <c r="O28" s="4"/>
      <c r="P28" s="4"/>
      <c r="Q28" s="4"/>
      <c r="R28" s="4"/>
      <c r="S28" s="4"/>
      <c r="T28" s="4"/>
      <c r="U28" s="4"/>
      <c r="V28" s="4"/>
      <c r="W28" s="8"/>
      <c r="X28" s="4"/>
      <c r="Y28" s="4"/>
      <c r="Z28" s="4"/>
      <c r="AA28" s="4"/>
      <c r="AB28" s="4"/>
      <c r="AC28" s="8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6"/>
      <c r="AO28" s="4"/>
      <c r="AP28" s="8"/>
      <c r="AQ28" s="43"/>
      <c r="AR28" s="43"/>
      <c r="AS28" s="43"/>
      <c r="AT28" s="43"/>
      <c r="AU28" s="43"/>
      <c r="AV28" s="43"/>
    </row>
    <row r="29" spans="1:48" ht="15.75" thickBot="1" x14ac:dyDescent="0.3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4"/>
      <c r="L29" s="20"/>
      <c r="M29" s="11"/>
      <c r="N29" s="59"/>
      <c r="O29" s="11"/>
      <c r="P29" s="11"/>
      <c r="Q29" s="11"/>
      <c r="R29" s="11"/>
      <c r="S29" s="11"/>
      <c r="T29" s="11"/>
      <c r="U29" s="11"/>
      <c r="V29" s="11"/>
      <c r="W29" s="21"/>
      <c r="X29" s="11"/>
      <c r="Y29" s="11"/>
      <c r="Z29" s="11"/>
      <c r="AA29" s="11"/>
      <c r="AB29" s="11"/>
      <c r="AC29" s="2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23"/>
      <c r="AQ29" s="43"/>
      <c r="AR29" s="43"/>
      <c r="AS29" s="43"/>
      <c r="AT29" s="43"/>
      <c r="AU29" s="43"/>
      <c r="AV29" s="43"/>
    </row>
    <row r="30" spans="1:48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4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</row>
    <row r="31" spans="1:48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</row>
    <row r="32" spans="1:48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</row>
    <row r="33" spans="1:48" x14ac:dyDescent="0.25">
      <c r="A33" s="43"/>
      <c r="B33" s="43"/>
      <c r="C33" s="43"/>
      <c r="D33" s="43"/>
      <c r="E33" s="43"/>
      <c r="F33" s="43"/>
      <c r="G33" s="43"/>
      <c r="H33" s="44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</row>
    <row r="34" spans="1:48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</row>
    <row r="35" spans="1:48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</row>
    <row r="36" spans="1:48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</row>
    <row r="37" spans="1:48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</row>
    <row r="38" spans="1:48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</row>
    <row r="47" spans="1:48" x14ac:dyDescent="0.25">
      <c r="Y47" s="1"/>
    </row>
  </sheetData>
  <sheetProtection formatCell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ove_Up">
                <anchor moveWithCells="1" siz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Move_Right">
                <anchor moveWithCells="1" siz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Move_Left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Move_Down">
                <anchor moveWithCells="1" siz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43ADC-77B2-4138-BBB4-931600B53110}">
  <sheetPr codeName="Sheet1"/>
  <dimension ref="B2:AK45"/>
  <sheetViews>
    <sheetView zoomScale="85" zoomScaleNormal="85" workbookViewId="0">
      <selection activeCell="O40" sqref="O40"/>
    </sheetView>
  </sheetViews>
  <sheetFormatPr defaultRowHeight="15" x14ac:dyDescent="0.25"/>
  <cols>
    <col min="6" max="6" width="14.85546875" bestFit="1" customWidth="1"/>
    <col min="7" max="7" width="10.7109375" customWidth="1"/>
    <col min="8" max="8" width="11" style="53" bestFit="1" customWidth="1"/>
    <col min="9" max="9" width="7.7109375" bestFit="1" customWidth="1"/>
    <col min="10" max="10" width="13.28515625" bestFit="1" customWidth="1"/>
    <col min="11" max="11" width="16.28515625" bestFit="1" customWidth="1"/>
    <col min="12" max="12" width="4.28515625" bestFit="1" customWidth="1"/>
    <col min="13" max="13" width="4.5703125" bestFit="1" customWidth="1"/>
    <col min="14" max="14" width="4.140625" bestFit="1" customWidth="1"/>
    <col min="15" max="15" width="4.85546875" bestFit="1" customWidth="1"/>
    <col min="16" max="16" width="4" bestFit="1" customWidth="1"/>
    <col min="17" max="17" width="3.42578125" bestFit="1" customWidth="1"/>
    <col min="18" max="18" width="4.42578125" bestFit="1" customWidth="1"/>
    <col min="19" max="19" width="4.28515625" bestFit="1" customWidth="1"/>
    <col min="20" max="20" width="4" bestFit="1" customWidth="1"/>
    <col min="21" max="21" width="4.5703125" bestFit="1" customWidth="1"/>
    <col min="22" max="22" width="4.28515625" bestFit="1" customWidth="1"/>
    <col min="23" max="23" width="11.28515625" bestFit="1" customWidth="1"/>
    <col min="24" max="24" width="7" bestFit="1" customWidth="1"/>
    <col min="25" max="25" width="13.28515625" bestFit="1" customWidth="1"/>
    <col min="26" max="26" width="16.28515625" bestFit="1" customWidth="1"/>
    <col min="27" max="27" width="8.140625" bestFit="1" customWidth="1"/>
    <col min="28" max="28" width="7.85546875" bestFit="1" customWidth="1"/>
    <col min="29" max="35" width="8.140625" bestFit="1" customWidth="1"/>
    <col min="36" max="36" width="10.28515625" bestFit="1" customWidth="1"/>
    <col min="37" max="37" width="11.28515625" bestFit="1" customWidth="1"/>
    <col min="38" max="55" width="3" bestFit="1" customWidth="1"/>
    <col min="56" max="56" width="11.28515625" bestFit="1" customWidth="1"/>
  </cols>
  <sheetData>
    <row r="2" spans="2:37" x14ac:dyDescent="0.25">
      <c r="B2" s="31" t="s">
        <v>0</v>
      </c>
      <c r="C2" s="32" t="s">
        <v>1</v>
      </c>
      <c r="D2" s="32" t="s">
        <v>2</v>
      </c>
      <c r="E2" s="33" t="s">
        <v>3</v>
      </c>
      <c r="F2" s="34" t="s">
        <v>4</v>
      </c>
      <c r="G2" s="50" t="s">
        <v>25</v>
      </c>
      <c r="H2" s="50" t="s">
        <v>5</v>
      </c>
      <c r="J2" s="38" t="s">
        <v>35</v>
      </c>
      <c r="K2" s="38" t="s">
        <v>28</v>
      </c>
      <c r="Y2" s="38" t="s">
        <v>48</v>
      </c>
      <c r="Z2" s="38" t="s">
        <v>28</v>
      </c>
    </row>
    <row r="3" spans="2:37" x14ac:dyDescent="0.25">
      <c r="B3" s="35">
        <v>43471</v>
      </c>
      <c r="C3" s="36" t="s">
        <v>6</v>
      </c>
      <c r="D3" s="36" t="s">
        <v>7</v>
      </c>
      <c r="E3" s="33" t="s">
        <v>8</v>
      </c>
      <c r="F3" s="37">
        <v>95</v>
      </c>
      <c r="G3" s="51">
        <v>1.99</v>
      </c>
      <c r="H3" s="52">
        <v>189.05</v>
      </c>
      <c r="J3" s="38" t="s">
        <v>26</v>
      </c>
      <c r="K3" s="46" t="s">
        <v>37</v>
      </c>
      <c r="L3" s="46" t="s">
        <v>38</v>
      </c>
      <c r="M3" s="46" t="s">
        <v>39</v>
      </c>
      <c r="N3" s="46" t="s">
        <v>41</v>
      </c>
      <c r="O3" s="46" t="s">
        <v>42</v>
      </c>
      <c r="P3" s="46" t="s">
        <v>43</v>
      </c>
      <c r="Q3" s="46" t="s">
        <v>32</v>
      </c>
      <c r="R3" s="46" t="s">
        <v>33</v>
      </c>
      <c r="S3" s="46" t="s">
        <v>34</v>
      </c>
      <c r="T3" s="46" t="s">
        <v>45</v>
      </c>
      <c r="U3" s="46" t="s">
        <v>46</v>
      </c>
      <c r="V3" s="46" t="s">
        <v>47</v>
      </c>
      <c r="W3" s="46" t="s">
        <v>27</v>
      </c>
      <c r="Y3" s="38" t="s">
        <v>26</v>
      </c>
      <c r="Z3" t="s">
        <v>17</v>
      </c>
      <c r="AA3" t="s">
        <v>13</v>
      </c>
      <c r="AB3" t="s">
        <v>20</v>
      </c>
      <c r="AC3" t="s">
        <v>12</v>
      </c>
      <c r="AD3" t="s">
        <v>7</v>
      </c>
      <c r="AE3" t="s">
        <v>10</v>
      </c>
      <c r="AF3" t="s">
        <v>19</v>
      </c>
      <c r="AG3" t="s">
        <v>21</v>
      </c>
      <c r="AH3" t="s">
        <v>22</v>
      </c>
      <c r="AI3" t="s">
        <v>16</v>
      </c>
      <c r="AJ3" t="s">
        <v>18</v>
      </c>
      <c r="AK3" t="s">
        <v>27</v>
      </c>
    </row>
    <row r="4" spans="2:37" x14ac:dyDescent="0.25">
      <c r="B4" s="35">
        <v>43488</v>
      </c>
      <c r="C4" s="36" t="s">
        <v>9</v>
      </c>
      <c r="D4" s="36" t="s">
        <v>10</v>
      </c>
      <c r="E4" s="33" t="s">
        <v>11</v>
      </c>
      <c r="F4" s="37">
        <v>50</v>
      </c>
      <c r="G4" s="51">
        <v>19.989999999999998</v>
      </c>
      <c r="H4" s="52">
        <v>999.49999999999989</v>
      </c>
      <c r="J4" s="39" t="s">
        <v>9</v>
      </c>
      <c r="K4" s="40">
        <v>2</v>
      </c>
      <c r="L4" s="40">
        <v>3</v>
      </c>
      <c r="M4" s="40">
        <v>1</v>
      </c>
      <c r="N4" s="40">
        <v>2</v>
      </c>
      <c r="O4" s="40">
        <v>3</v>
      </c>
      <c r="P4" s="40">
        <v>2</v>
      </c>
      <c r="Q4" s="40">
        <v>1</v>
      </c>
      <c r="R4" s="40">
        <v>1</v>
      </c>
      <c r="S4" s="40">
        <v>2</v>
      </c>
      <c r="T4" s="40">
        <v>2</v>
      </c>
      <c r="U4" s="40">
        <v>2</v>
      </c>
      <c r="V4" s="40">
        <v>3</v>
      </c>
      <c r="W4" s="40">
        <v>24</v>
      </c>
      <c r="Y4" s="39" t="s">
        <v>29</v>
      </c>
      <c r="Z4" s="40">
        <v>149.25</v>
      </c>
      <c r="AA4" s="40">
        <v>539.7299999999999</v>
      </c>
      <c r="AB4" s="40">
        <v>57.71</v>
      </c>
      <c r="AC4" s="40">
        <v>628.74</v>
      </c>
      <c r="AD4" s="40">
        <v>2033.6999999999998</v>
      </c>
      <c r="AE4" s="40">
        <v>1478.54</v>
      </c>
      <c r="AF4" s="40">
        <v>700.82</v>
      </c>
      <c r="AG4" s="40">
        <v>3102.2999999999997</v>
      </c>
      <c r="AH4" s="40">
        <v>336.43</v>
      </c>
      <c r="AI4" s="40">
        <v>167.44</v>
      </c>
      <c r="AJ4" s="40">
        <v>63.68</v>
      </c>
      <c r="AK4" s="40">
        <v>9258.34</v>
      </c>
    </row>
    <row r="5" spans="2:37" x14ac:dyDescent="0.25">
      <c r="B5" s="35">
        <v>43505</v>
      </c>
      <c r="C5" s="36" t="s">
        <v>9</v>
      </c>
      <c r="D5" s="36" t="s">
        <v>12</v>
      </c>
      <c r="E5" s="33" t="s">
        <v>8</v>
      </c>
      <c r="F5" s="37">
        <v>36</v>
      </c>
      <c r="G5" s="51">
        <v>4.99</v>
      </c>
      <c r="H5" s="52">
        <v>179.64000000000001</v>
      </c>
      <c r="J5" s="39" t="s">
        <v>6</v>
      </c>
      <c r="K5" s="40">
        <v>1</v>
      </c>
      <c r="L5" s="40">
        <v>1</v>
      </c>
      <c r="M5" s="40"/>
      <c r="N5" s="40">
        <v>2</v>
      </c>
      <c r="O5" s="40"/>
      <c r="P5" s="40">
        <v>1</v>
      </c>
      <c r="Q5" s="40">
        <v>3</v>
      </c>
      <c r="R5" s="40">
        <v>1</v>
      </c>
      <c r="S5" s="40">
        <v>1</v>
      </c>
      <c r="T5" s="40">
        <v>1</v>
      </c>
      <c r="U5" s="40">
        <v>1</v>
      </c>
      <c r="V5" s="40">
        <v>1</v>
      </c>
      <c r="W5" s="40">
        <v>13</v>
      </c>
      <c r="Y5" s="45" t="s">
        <v>36</v>
      </c>
      <c r="Z5" s="40"/>
      <c r="AA5" s="40">
        <v>539.7299999999999</v>
      </c>
      <c r="AB5" s="40"/>
      <c r="AC5" s="40">
        <v>179.64000000000001</v>
      </c>
      <c r="AD5" s="40">
        <v>189.05</v>
      </c>
      <c r="AE5" s="40">
        <v>999.49999999999989</v>
      </c>
      <c r="AF5" s="40"/>
      <c r="AG5" s="40"/>
      <c r="AH5" s="40"/>
      <c r="AI5" s="40">
        <v>167.44</v>
      </c>
      <c r="AJ5" s="40"/>
      <c r="AK5" s="40">
        <v>2075.3599999999997</v>
      </c>
    </row>
    <row r="6" spans="2:37" x14ac:dyDescent="0.25">
      <c r="B6" s="35">
        <v>43522</v>
      </c>
      <c r="C6" s="36" t="s">
        <v>9</v>
      </c>
      <c r="D6" s="36" t="s">
        <v>13</v>
      </c>
      <c r="E6" s="33" t="s">
        <v>14</v>
      </c>
      <c r="F6" s="37">
        <v>27</v>
      </c>
      <c r="G6" s="51">
        <v>19.989999999999998</v>
      </c>
      <c r="H6" s="52">
        <v>539.7299999999999</v>
      </c>
      <c r="J6" s="39" t="s">
        <v>15</v>
      </c>
      <c r="K6" s="40"/>
      <c r="L6" s="40"/>
      <c r="M6" s="40">
        <v>2</v>
      </c>
      <c r="N6" s="40"/>
      <c r="O6" s="40">
        <v>1</v>
      </c>
      <c r="P6" s="40"/>
      <c r="Q6" s="40"/>
      <c r="R6" s="40">
        <v>1</v>
      </c>
      <c r="S6" s="40">
        <v>1</v>
      </c>
      <c r="T6" s="40">
        <v>1</v>
      </c>
      <c r="U6" s="40"/>
      <c r="V6" s="40"/>
      <c r="W6" s="40">
        <v>6</v>
      </c>
      <c r="Y6" s="45" t="s">
        <v>40</v>
      </c>
      <c r="Z6" s="40">
        <v>149.25</v>
      </c>
      <c r="AA6" s="40"/>
      <c r="AB6" s="40"/>
      <c r="AC6" s="40">
        <v>449.1</v>
      </c>
      <c r="AD6" s="40">
        <v>838.8</v>
      </c>
      <c r="AE6" s="40"/>
      <c r="AF6" s="40">
        <v>449.1</v>
      </c>
      <c r="AG6" s="40"/>
      <c r="AH6" s="40"/>
      <c r="AI6" s="40"/>
      <c r="AJ6" s="40">
        <v>63.68</v>
      </c>
      <c r="AK6" s="40">
        <v>1949.93</v>
      </c>
    </row>
    <row r="7" spans="2:37" x14ac:dyDescent="0.25">
      <c r="B7" s="35">
        <v>43539</v>
      </c>
      <c r="C7" s="36" t="s">
        <v>15</v>
      </c>
      <c r="D7" s="36" t="s">
        <v>16</v>
      </c>
      <c r="E7" s="33" t="s">
        <v>8</v>
      </c>
      <c r="F7" s="37">
        <v>56</v>
      </c>
      <c r="G7" s="51">
        <v>2.99</v>
      </c>
      <c r="H7" s="52">
        <v>167.44</v>
      </c>
      <c r="J7" s="39" t="s">
        <v>27</v>
      </c>
      <c r="K7" s="40">
        <v>3</v>
      </c>
      <c r="L7" s="40">
        <v>4</v>
      </c>
      <c r="M7" s="40">
        <v>3</v>
      </c>
      <c r="N7" s="40">
        <v>4</v>
      </c>
      <c r="O7" s="40">
        <v>4</v>
      </c>
      <c r="P7" s="40">
        <v>3</v>
      </c>
      <c r="Q7" s="40">
        <v>4</v>
      </c>
      <c r="R7" s="40">
        <v>3</v>
      </c>
      <c r="S7" s="40">
        <v>4</v>
      </c>
      <c r="T7" s="40">
        <v>4</v>
      </c>
      <c r="U7" s="40">
        <v>3</v>
      </c>
      <c r="V7" s="40">
        <v>4</v>
      </c>
      <c r="W7" s="40">
        <v>43</v>
      </c>
      <c r="Y7" s="45" t="s">
        <v>31</v>
      </c>
      <c r="Z7" s="40"/>
      <c r="AA7" s="40"/>
      <c r="AB7" s="40">
        <v>57.71</v>
      </c>
      <c r="AC7" s="40"/>
      <c r="AD7" s="40">
        <v>430.49</v>
      </c>
      <c r="AE7" s="40"/>
      <c r="AF7" s="40"/>
      <c r="AG7" s="40">
        <v>1619.1899999999998</v>
      </c>
      <c r="AH7" s="40">
        <v>250</v>
      </c>
      <c r="AI7" s="40"/>
      <c r="AJ7" s="40"/>
      <c r="AK7" s="40">
        <v>2357.39</v>
      </c>
    </row>
    <row r="8" spans="2:37" x14ac:dyDescent="0.25">
      <c r="B8" s="35">
        <v>43556</v>
      </c>
      <c r="C8" s="36" t="s">
        <v>6</v>
      </c>
      <c r="D8" s="36" t="s">
        <v>7</v>
      </c>
      <c r="E8" s="33" t="s">
        <v>11</v>
      </c>
      <c r="F8" s="37">
        <v>60</v>
      </c>
      <c r="G8" s="51">
        <v>4.99</v>
      </c>
      <c r="H8" s="52">
        <v>299.40000000000003</v>
      </c>
      <c r="Y8" s="45" t="s">
        <v>44</v>
      </c>
      <c r="Z8" s="40"/>
      <c r="AA8" s="40"/>
      <c r="AB8" s="40"/>
      <c r="AC8" s="40"/>
      <c r="AD8" s="40">
        <v>575.36</v>
      </c>
      <c r="AE8" s="40">
        <v>479.04</v>
      </c>
      <c r="AF8" s="40">
        <v>251.72</v>
      </c>
      <c r="AG8" s="40">
        <v>1483.11</v>
      </c>
      <c r="AH8" s="40">
        <v>86.43</v>
      </c>
      <c r="AI8" s="40"/>
      <c r="AJ8" s="40"/>
      <c r="AK8" s="40">
        <v>2875.66</v>
      </c>
    </row>
    <row r="9" spans="2:37" x14ac:dyDescent="0.25">
      <c r="B9" s="35">
        <v>43573</v>
      </c>
      <c r="C9" s="36" t="s">
        <v>9</v>
      </c>
      <c r="D9" s="36" t="s">
        <v>17</v>
      </c>
      <c r="E9" s="33" t="s">
        <v>8</v>
      </c>
      <c r="F9" s="37">
        <v>75</v>
      </c>
      <c r="G9" s="51">
        <v>1.99</v>
      </c>
      <c r="H9" s="52">
        <v>149.25</v>
      </c>
      <c r="Y9" s="39" t="s">
        <v>30</v>
      </c>
      <c r="Z9" s="40">
        <v>289.12</v>
      </c>
      <c r="AA9" s="40">
        <v>1210.1400000000001</v>
      </c>
      <c r="AB9" s="40">
        <v>479.04</v>
      </c>
      <c r="AC9" s="40">
        <v>2183.4499999999998</v>
      </c>
      <c r="AD9" s="40">
        <v>329.34</v>
      </c>
      <c r="AE9" s="40">
        <v>1630.9</v>
      </c>
      <c r="AF9" s="40">
        <v>686.95</v>
      </c>
      <c r="AG9" s="40"/>
      <c r="AH9" s="40">
        <v>1305</v>
      </c>
      <c r="AI9" s="40">
        <v>1116.17</v>
      </c>
      <c r="AJ9" s="40">
        <v>1139.4299999999998</v>
      </c>
      <c r="AK9" s="40">
        <v>10369.540000000001</v>
      </c>
    </row>
    <row r="10" spans="2:37" x14ac:dyDescent="0.25">
      <c r="B10" s="35">
        <v>43590</v>
      </c>
      <c r="C10" s="36" t="s">
        <v>9</v>
      </c>
      <c r="D10" s="36" t="s">
        <v>12</v>
      </c>
      <c r="E10" s="33" t="s">
        <v>8</v>
      </c>
      <c r="F10" s="37">
        <v>90</v>
      </c>
      <c r="G10" s="51">
        <v>4.99</v>
      </c>
      <c r="H10" s="52">
        <v>449.1</v>
      </c>
      <c r="Y10" s="45" t="s">
        <v>36</v>
      </c>
      <c r="Z10" s="40"/>
      <c r="AA10" s="40">
        <v>413.54</v>
      </c>
      <c r="AB10" s="40"/>
      <c r="AC10" s="40">
        <v>249.5</v>
      </c>
      <c r="AD10" s="40">
        <v>19.96</v>
      </c>
      <c r="AE10" s="40"/>
      <c r="AF10" s="40"/>
      <c r="AG10" s="40"/>
      <c r="AH10" s="40">
        <v>1305</v>
      </c>
      <c r="AI10" s="40">
        <v>139.92999999999998</v>
      </c>
      <c r="AJ10" s="40"/>
      <c r="AK10" s="40">
        <v>2127.9299999999998</v>
      </c>
    </row>
    <row r="11" spans="2:37" x14ac:dyDescent="0.25">
      <c r="B11" s="35">
        <v>43607</v>
      </c>
      <c r="C11" s="36" t="s">
        <v>15</v>
      </c>
      <c r="D11" s="36" t="s">
        <v>18</v>
      </c>
      <c r="E11" s="33" t="s">
        <v>8</v>
      </c>
      <c r="F11" s="37">
        <v>32</v>
      </c>
      <c r="G11" s="51">
        <v>1.99</v>
      </c>
      <c r="H11" s="52">
        <v>63.68</v>
      </c>
      <c r="Y11" s="45" t="s">
        <v>40</v>
      </c>
      <c r="Z11" s="40">
        <v>131.34</v>
      </c>
      <c r="AA11" s="40">
        <v>787.57</v>
      </c>
      <c r="AB11" s="40">
        <v>479.04</v>
      </c>
      <c r="AC11" s="40"/>
      <c r="AD11" s="40"/>
      <c r="AE11" s="40">
        <v>625</v>
      </c>
      <c r="AF11" s="40"/>
      <c r="AG11" s="40"/>
      <c r="AH11" s="40"/>
      <c r="AI11" s="40"/>
      <c r="AJ11" s="40"/>
      <c r="AK11" s="40">
        <v>2022.95</v>
      </c>
    </row>
    <row r="12" spans="2:37" x14ac:dyDescent="0.25">
      <c r="B12" s="35">
        <v>43624</v>
      </c>
      <c r="C12" s="36" t="s">
        <v>6</v>
      </c>
      <c r="D12" s="36" t="s">
        <v>7</v>
      </c>
      <c r="E12" s="33" t="s">
        <v>11</v>
      </c>
      <c r="F12" s="37">
        <v>60</v>
      </c>
      <c r="G12" s="51">
        <v>8.99</v>
      </c>
      <c r="H12" s="52">
        <v>539.4</v>
      </c>
      <c r="Y12" s="45" t="s">
        <v>31</v>
      </c>
      <c r="Z12" s="40"/>
      <c r="AA12" s="40">
        <v>9.0300000000000011</v>
      </c>
      <c r="AB12" s="40"/>
      <c r="AC12" s="40"/>
      <c r="AD12" s="40">
        <v>309.38</v>
      </c>
      <c r="AE12" s="40">
        <v>1005.9</v>
      </c>
      <c r="AF12" s="40">
        <v>686.95</v>
      </c>
      <c r="AG12" s="40"/>
      <c r="AH12" s="40"/>
      <c r="AI12" s="40">
        <v>976.24</v>
      </c>
      <c r="AJ12" s="40"/>
      <c r="AK12" s="40">
        <v>2987.5</v>
      </c>
    </row>
    <row r="13" spans="2:37" x14ac:dyDescent="0.25">
      <c r="B13" s="35">
        <v>43641</v>
      </c>
      <c r="C13" s="36" t="s">
        <v>9</v>
      </c>
      <c r="D13" s="36" t="s">
        <v>19</v>
      </c>
      <c r="E13" s="33" t="s">
        <v>8</v>
      </c>
      <c r="F13" s="37">
        <v>90</v>
      </c>
      <c r="G13" s="51">
        <v>4.99</v>
      </c>
      <c r="H13" s="52">
        <v>449.1</v>
      </c>
      <c r="Y13" s="45" t="s">
        <v>44</v>
      </c>
      <c r="Z13" s="40">
        <v>157.78</v>
      </c>
      <c r="AA13" s="40"/>
      <c r="AB13" s="40"/>
      <c r="AC13" s="40">
        <v>1933.95</v>
      </c>
      <c r="AD13" s="40"/>
      <c r="AE13" s="40"/>
      <c r="AF13" s="40"/>
      <c r="AG13" s="40"/>
      <c r="AH13" s="40"/>
      <c r="AI13" s="40"/>
      <c r="AJ13" s="40">
        <v>1139.4299999999998</v>
      </c>
      <c r="AK13" s="40">
        <v>3231.16</v>
      </c>
    </row>
    <row r="14" spans="2:37" x14ac:dyDescent="0.25">
      <c r="B14" s="35">
        <v>43658</v>
      </c>
      <c r="C14" s="36" t="s">
        <v>6</v>
      </c>
      <c r="D14" s="36" t="s">
        <v>20</v>
      </c>
      <c r="E14" s="33" t="s">
        <v>11</v>
      </c>
      <c r="F14" s="37">
        <v>29</v>
      </c>
      <c r="G14" s="51">
        <v>1.99</v>
      </c>
      <c r="H14" s="52">
        <v>57.71</v>
      </c>
      <c r="Y14" s="39" t="s">
        <v>27</v>
      </c>
      <c r="Z14" s="40">
        <v>438.37</v>
      </c>
      <c r="AA14" s="40">
        <v>1749.8700000000001</v>
      </c>
      <c r="AB14" s="40">
        <v>536.75</v>
      </c>
      <c r="AC14" s="40">
        <v>2812.19</v>
      </c>
      <c r="AD14" s="40">
        <v>2363.04</v>
      </c>
      <c r="AE14" s="40">
        <v>3109.44</v>
      </c>
      <c r="AF14" s="40">
        <v>1387.77</v>
      </c>
      <c r="AG14" s="40">
        <v>3102.2999999999997</v>
      </c>
      <c r="AH14" s="40">
        <v>1641.43</v>
      </c>
      <c r="AI14" s="40">
        <v>1283.6100000000001</v>
      </c>
      <c r="AJ14" s="40">
        <v>1203.1099999999999</v>
      </c>
      <c r="AK14" s="40">
        <v>19627.88</v>
      </c>
    </row>
    <row r="15" spans="2:37" x14ac:dyDescent="0.25">
      <c r="B15" s="35">
        <v>43675</v>
      </c>
      <c r="C15" s="36" t="s">
        <v>6</v>
      </c>
      <c r="D15" s="36" t="s">
        <v>21</v>
      </c>
      <c r="E15" s="33" t="s">
        <v>11</v>
      </c>
      <c r="F15" s="37">
        <v>81</v>
      </c>
      <c r="G15" s="51">
        <v>19.989999999999998</v>
      </c>
      <c r="H15" s="52">
        <v>1619.1899999999998</v>
      </c>
    </row>
    <row r="16" spans="2:37" x14ac:dyDescent="0.25">
      <c r="B16" s="35">
        <v>43692</v>
      </c>
      <c r="C16" s="36" t="s">
        <v>6</v>
      </c>
      <c r="D16" s="36" t="s">
        <v>7</v>
      </c>
      <c r="E16" s="33" t="s">
        <v>8</v>
      </c>
      <c r="F16" s="37">
        <v>35</v>
      </c>
      <c r="G16" s="51">
        <v>4.99</v>
      </c>
      <c r="H16" s="52">
        <v>174.65</v>
      </c>
    </row>
    <row r="17" spans="2:8" x14ac:dyDescent="0.25">
      <c r="B17" s="35">
        <v>43709</v>
      </c>
      <c r="C17" s="36" t="s">
        <v>9</v>
      </c>
      <c r="D17" s="36" t="s">
        <v>22</v>
      </c>
      <c r="E17" s="33" t="s">
        <v>23</v>
      </c>
      <c r="F17" s="37">
        <v>2</v>
      </c>
      <c r="G17" s="51">
        <v>125</v>
      </c>
      <c r="H17" s="52">
        <v>250</v>
      </c>
    </row>
    <row r="18" spans="2:8" x14ac:dyDescent="0.25">
      <c r="B18" s="35">
        <v>43726</v>
      </c>
      <c r="C18" s="36" t="s">
        <v>6</v>
      </c>
      <c r="D18" s="36" t="s">
        <v>7</v>
      </c>
      <c r="E18" s="33" t="s">
        <v>24</v>
      </c>
      <c r="F18" s="37">
        <v>16</v>
      </c>
      <c r="G18" s="51">
        <v>15.99</v>
      </c>
      <c r="H18" s="52">
        <v>255.84</v>
      </c>
    </row>
    <row r="19" spans="2:8" x14ac:dyDescent="0.25">
      <c r="B19" s="35">
        <v>43743</v>
      </c>
      <c r="C19" s="36" t="s">
        <v>9</v>
      </c>
      <c r="D19" s="36" t="s">
        <v>19</v>
      </c>
      <c r="E19" s="33" t="s">
        <v>11</v>
      </c>
      <c r="F19" s="37">
        <v>28</v>
      </c>
      <c r="G19" s="51">
        <v>8.99</v>
      </c>
      <c r="H19" s="52">
        <v>251.72</v>
      </c>
    </row>
    <row r="20" spans="2:8" x14ac:dyDescent="0.25">
      <c r="B20" s="35">
        <v>43760</v>
      </c>
      <c r="C20" s="36" t="s">
        <v>6</v>
      </c>
      <c r="D20" s="36" t="s">
        <v>7</v>
      </c>
      <c r="E20" s="33" t="s">
        <v>14</v>
      </c>
      <c r="F20" s="37">
        <v>64</v>
      </c>
      <c r="G20" s="51">
        <v>8.99</v>
      </c>
      <c r="H20" s="52">
        <v>575.36</v>
      </c>
    </row>
    <row r="21" spans="2:8" x14ac:dyDescent="0.25">
      <c r="B21" s="35">
        <v>43777</v>
      </c>
      <c r="C21" s="36" t="s">
        <v>6</v>
      </c>
      <c r="D21" s="36" t="s">
        <v>21</v>
      </c>
      <c r="E21" s="33" t="s">
        <v>14</v>
      </c>
      <c r="F21" s="37">
        <v>15</v>
      </c>
      <c r="G21" s="51">
        <v>19.989999999999998</v>
      </c>
      <c r="H21" s="52">
        <v>299.84999999999997</v>
      </c>
    </row>
    <row r="22" spans="2:8" x14ac:dyDescent="0.25">
      <c r="B22" s="35">
        <v>43794</v>
      </c>
      <c r="C22" s="36" t="s">
        <v>9</v>
      </c>
      <c r="D22" s="36" t="s">
        <v>10</v>
      </c>
      <c r="E22" s="33" t="s">
        <v>24</v>
      </c>
      <c r="F22" s="37">
        <v>96</v>
      </c>
      <c r="G22" s="51">
        <v>4.99</v>
      </c>
      <c r="H22" s="52">
        <v>479.04</v>
      </c>
    </row>
    <row r="23" spans="2:8" x14ac:dyDescent="0.25">
      <c r="B23" s="35">
        <v>43811</v>
      </c>
      <c r="C23" s="36" t="s">
        <v>9</v>
      </c>
      <c r="D23" s="36" t="s">
        <v>22</v>
      </c>
      <c r="E23" s="33" t="s">
        <v>8</v>
      </c>
      <c r="F23" s="37">
        <v>67</v>
      </c>
      <c r="G23" s="51">
        <v>1.29</v>
      </c>
      <c r="H23" s="52">
        <v>86.43</v>
      </c>
    </row>
    <row r="24" spans="2:8" x14ac:dyDescent="0.25">
      <c r="B24" s="35">
        <v>43828</v>
      </c>
      <c r="C24" s="36" t="s">
        <v>6</v>
      </c>
      <c r="D24" s="36" t="s">
        <v>21</v>
      </c>
      <c r="E24" s="33" t="s">
        <v>24</v>
      </c>
      <c r="F24" s="37">
        <v>74</v>
      </c>
      <c r="G24" s="51">
        <v>15.99</v>
      </c>
      <c r="H24" s="52">
        <v>1183.26</v>
      </c>
    </row>
    <row r="25" spans="2:8" x14ac:dyDescent="0.25">
      <c r="B25" s="35">
        <v>43845</v>
      </c>
      <c r="C25" s="36" t="s">
        <v>9</v>
      </c>
      <c r="D25" s="36" t="s">
        <v>13</v>
      </c>
      <c r="E25" s="33" t="s">
        <v>11</v>
      </c>
      <c r="F25" s="37">
        <v>46</v>
      </c>
      <c r="G25" s="51">
        <v>8.99</v>
      </c>
      <c r="H25" s="52">
        <v>413.54</v>
      </c>
    </row>
    <row r="26" spans="2:8" x14ac:dyDescent="0.25">
      <c r="B26" s="35">
        <v>43862</v>
      </c>
      <c r="C26" s="36" t="s">
        <v>9</v>
      </c>
      <c r="D26" s="36" t="s">
        <v>22</v>
      </c>
      <c r="E26" s="33" t="s">
        <v>11</v>
      </c>
      <c r="F26" s="37">
        <v>87</v>
      </c>
      <c r="G26" s="51">
        <v>15</v>
      </c>
      <c r="H26" s="52">
        <v>1305</v>
      </c>
    </row>
    <row r="27" spans="2:8" x14ac:dyDescent="0.25">
      <c r="B27" s="35">
        <v>43879</v>
      </c>
      <c r="C27" s="36" t="s">
        <v>6</v>
      </c>
      <c r="D27" s="36" t="s">
        <v>7</v>
      </c>
      <c r="E27" s="33" t="s">
        <v>11</v>
      </c>
      <c r="F27" s="37">
        <v>4</v>
      </c>
      <c r="G27" s="51">
        <v>4.99</v>
      </c>
      <c r="H27" s="52">
        <v>19.96</v>
      </c>
    </row>
    <row r="28" spans="2:8" x14ac:dyDescent="0.25">
      <c r="B28" s="35">
        <v>43897</v>
      </c>
      <c r="C28" s="36" t="s">
        <v>15</v>
      </c>
      <c r="D28" s="36" t="s">
        <v>16</v>
      </c>
      <c r="E28" s="33" t="s">
        <v>11</v>
      </c>
      <c r="F28" s="37">
        <v>7</v>
      </c>
      <c r="G28" s="51">
        <v>19.989999999999998</v>
      </c>
      <c r="H28" s="52">
        <v>139.92999999999998</v>
      </c>
    </row>
    <row r="29" spans="2:8" x14ac:dyDescent="0.25">
      <c r="B29" s="35">
        <v>43914</v>
      </c>
      <c r="C29" s="36" t="s">
        <v>9</v>
      </c>
      <c r="D29" s="36" t="s">
        <v>12</v>
      </c>
      <c r="E29" s="33" t="s">
        <v>24</v>
      </c>
      <c r="F29" s="37">
        <v>50</v>
      </c>
      <c r="G29" s="51">
        <v>4.99</v>
      </c>
      <c r="H29" s="52">
        <v>249.5</v>
      </c>
    </row>
    <row r="30" spans="2:8" x14ac:dyDescent="0.25">
      <c r="B30" s="35">
        <v>43931</v>
      </c>
      <c r="C30" s="36" t="s">
        <v>9</v>
      </c>
      <c r="D30" s="36" t="s">
        <v>17</v>
      </c>
      <c r="E30" s="33" t="s">
        <v>8</v>
      </c>
      <c r="F30" s="37">
        <v>66</v>
      </c>
      <c r="G30" s="51">
        <v>1.99</v>
      </c>
      <c r="H30" s="52">
        <v>131.34</v>
      </c>
    </row>
    <row r="31" spans="2:8" x14ac:dyDescent="0.25">
      <c r="B31" s="35">
        <v>43948</v>
      </c>
      <c r="C31" s="36" t="s">
        <v>6</v>
      </c>
      <c r="D31" s="36" t="s">
        <v>20</v>
      </c>
      <c r="E31" s="33" t="s">
        <v>14</v>
      </c>
      <c r="F31" s="37">
        <v>96</v>
      </c>
      <c r="G31" s="51">
        <v>4.99</v>
      </c>
      <c r="H31" s="52">
        <v>479.04</v>
      </c>
    </row>
    <row r="32" spans="2:8" x14ac:dyDescent="0.25">
      <c r="B32" s="35">
        <v>43965</v>
      </c>
      <c r="C32" s="36" t="s">
        <v>9</v>
      </c>
      <c r="D32" s="36" t="s">
        <v>13</v>
      </c>
      <c r="E32" s="33" t="s">
        <v>8</v>
      </c>
      <c r="F32" s="37">
        <v>53</v>
      </c>
      <c r="G32" s="51">
        <v>1.29</v>
      </c>
      <c r="H32" s="52">
        <v>68.37</v>
      </c>
    </row>
    <row r="33" spans="2:8" x14ac:dyDescent="0.25">
      <c r="B33" s="35">
        <v>43982</v>
      </c>
      <c r="C33" s="36" t="s">
        <v>9</v>
      </c>
      <c r="D33" s="36" t="s">
        <v>13</v>
      </c>
      <c r="E33" s="33" t="s">
        <v>11</v>
      </c>
      <c r="F33" s="37">
        <v>80</v>
      </c>
      <c r="G33" s="51">
        <v>8.99</v>
      </c>
      <c r="H33" s="52">
        <v>719.2</v>
      </c>
    </row>
    <row r="34" spans="2:8" x14ac:dyDescent="0.25">
      <c r="B34" s="35">
        <v>43999</v>
      </c>
      <c r="C34" s="36" t="s">
        <v>9</v>
      </c>
      <c r="D34" s="36" t="s">
        <v>10</v>
      </c>
      <c r="E34" s="33" t="s">
        <v>23</v>
      </c>
      <c r="F34" s="37">
        <v>5</v>
      </c>
      <c r="G34" s="51">
        <v>125</v>
      </c>
      <c r="H34" s="52">
        <v>625</v>
      </c>
    </row>
    <row r="35" spans="2:8" x14ac:dyDescent="0.25">
      <c r="B35" s="35">
        <v>44016</v>
      </c>
      <c r="C35" s="36" t="s">
        <v>6</v>
      </c>
      <c r="D35" s="36" t="s">
        <v>7</v>
      </c>
      <c r="E35" s="33" t="s">
        <v>24</v>
      </c>
      <c r="F35" s="37">
        <v>62</v>
      </c>
      <c r="G35" s="51">
        <v>4.99</v>
      </c>
      <c r="H35" s="52">
        <v>309.38</v>
      </c>
    </row>
    <row r="36" spans="2:8" x14ac:dyDescent="0.25">
      <c r="B36" s="35">
        <v>44033</v>
      </c>
      <c r="C36" s="36" t="s">
        <v>9</v>
      </c>
      <c r="D36" s="36" t="s">
        <v>19</v>
      </c>
      <c r="E36" s="33" t="s">
        <v>24</v>
      </c>
      <c r="F36" s="37">
        <v>55</v>
      </c>
      <c r="G36" s="51">
        <v>12.49</v>
      </c>
      <c r="H36" s="52">
        <v>686.95</v>
      </c>
    </row>
    <row r="37" spans="2:8" x14ac:dyDescent="0.25">
      <c r="B37" s="35">
        <v>44050</v>
      </c>
      <c r="C37" s="36" t="s">
        <v>9</v>
      </c>
      <c r="D37" s="36" t="s">
        <v>10</v>
      </c>
      <c r="E37" s="33" t="s">
        <v>24</v>
      </c>
      <c r="F37" s="37">
        <v>42</v>
      </c>
      <c r="G37" s="51">
        <v>23.95</v>
      </c>
      <c r="H37" s="52">
        <v>1005.9</v>
      </c>
    </row>
    <row r="38" spans="2:8" x14ac:dyDescent="0.25">
      <c r="B38" s="35">
        <v>44067</v>
      </c>
      <c r="C38" s="36" t="s">
        <v>15</v>
      </c>
      <c r="D38" s="36" t="s">
        <v>16</v>
      </c>
      <c r="E38" s="33" t="s">
        <v>23</v>
      </c>
      <c r="F38" s="37">
        <v>3</v>
      </c>
      <c r="G38" s="51">
        <v>275</v>
      </c>
      <c r="H38" s="52">
        <v>825</v>
      </c>
    </row>
    <row r="39" spans="2:8" x14ac:dyDescent="0.25">
      <c r="B39" s="35">
        <v>44084</v>
      </c>
      <c r="C39" s="36" t="s">
        <v>9</v>
      </c>
      <c r="D39" s="36" t="s">
        <v>13</v>
      </c>
      <c r="E39" s="33" t="s">
        <v>8</v>
      </c>
      <c r="F39" s="37">
        <v>7</v>
      </c>
      <c r="G39" s="51">
        <v>1.29</v>
      </c>
      <c r="H39" s="52">
        <v>9.0300000000000011</v>
      </c>
    </row>
    <row r="40" spans="2:8" x14ac:dyDescent="0.25">
      <c r="B40" s="35">
        <v>44101</v>
      </c>
      <c r="C40" s="36" t="s">
        <v>15</v>
      </c>
      <c r="D40" s="36" t="s">
        <v>16</v>
      </c>
      <c r="E40" s="33" t="s">
        <v>14</v>
      </c>
      <c r="F40" s="37">
        <v>76</v>
      </c>
      <c r="G40" s="51">
        <v>1.99</v>
      </c>
      <c r="H40" s="52">
        <v>151.24</v>
      </c>
    </row>
    <row r="41" spans="2:8" x14ac:dyDescent="0.25">
      <c r="B41" s="35">
        <v>44118</v>
      </c>
      <c r="C41" s="36" t="s">
        <v>15</v>
      </c>
      <c r="D41" s="36" t="s">
        <v>18</v>
      </c>
      <c r="E41" s="33" t="s">
        <v>11</v>
      </c>
      <c r="F41" s="37">
        <v>57</v>
      </c>
      <c r="G41" s="51">
        <v>19.989999999999998</v>
      </c>
      <c r="H41" s="52">
        <v>1139.4299999999998</v>
      </c>
    </row>
    <row r="42" spans="2:8" x14ac:dyDescent="0.25">
      <c r="B42" s="35">
        <v>44135</v>
      </c>
      <c r="C42" s="36" t="s">
        <v>9</v>
      </c>
      <c r="D42" s="36" t="s">
        <v>17</v>
      </c>
      <c r="E42" s="33" t="s">
        <v>8</v>
      </c>
      <c r="F42" s="37">
        <v>14</v>
      </c>
      <c r="G42" s="51">
        <v>1.29</v>
      </c>
      <c r="H42" s="52">
        <v>18.060000000000002</v>
      </c>
    </row>
    <row r="43" spans="2:8" x14ac:dyDescent="0.25">
      <c r="B43" s="35">
        <v>44152</v>
      </c>
      <c r="C43" s="36" t="s">
        <v>9</v>
      </c>
      <c r="D43" s="36" t="s">
        <v>12</v>
      </c>
      <c r="E43" s="33" t="s">
        <v>11</v>
      </c>
      <c r="F43" s="37">
        <v>11</v>
      </c>
      <c r="G43" s="51">
        <v>4.99</v>
      </c>
      <c r="H43" s="52">
        <v>54.89</v>
      </c>
    </row>
    <row r="44" spans="2:8" x14ac:dyDescent="0.25">
      <c r="B44" s="35">
        <v>44169</v>
      </c>
      <c r="C44" s="36" t="s">
        <v>9</v>
      </c>
      <c r="D44" s="36" t="s">
        <v>12</v>
      </c>
      <c r="E44" s="33" t="s">
        <v>11</v>
      </c>
      <c r="F44" s="37">
        <v>94</v>
      </c>
      <c r="G44" s="51">
        <v>19.989999999999998</v>
      </c>
      <c r="H44" s="52">
        <v>1879.06</v>
      </c>
    </row>
    <row r="45" spans="2:8" x14ac:dyDescent="0.25">
      <c r="B45" s="35">
        <v>44186</v>
      </c>
      <c r="C45" s="36" t="s">
        <v>9</v>
      </c>
      <c r="D45" s="36" t="s">
        <v>17</v>
      </c>
      <c r="E45" s="33" t="s">
        <v>11</v>
      </c>
      <c r="F45" s="37">
        <v>28</v>
      </c>
      <c r="G45" s="51">
        <v>4.99</v>
      </c>
      <c r="H45" s="52">
        <v>139.72</v>
      </c>
    </row>
  </sheetData>
  <pageMargins left="0.7" right="0.7" top="0.75" bottom="0.75" header="0.3" footer="0.3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8A65C-9947-4811-B0D0-8E0F46AE272C}">
  <sheetPr codeName="Sheet3"/>
  <dimension ref="B4:Q478"/>
  <sheetViews>
    <sheetView tabSelected="1" workbookViewId="0">
      <selection activeCell="P21" sqref="P21"/>
    </sheetView>
  </sheetViews>
  <sheetFormatPr defaultRowHeight="15" x14ac:dyDescent="0.25"/>
  <cols>
    <col min="3" max="3" width="9.5703125" customWidth="1"/>
    <col min="4" max="4" width="11.7109375" bestFit="1" customWidth="1"/>
    <col min="7" max="7" width="14.28515625" customWidth="1"/>
    <col min="8" max="8" width="11" bestFit="1" customWidth="1"/>
    <col min="9" max="9" width="10" customWidth="1"/>
    <col min="10" max="11" width="10.5703125" customWidth="1"/>
    <col min="13" max="13" width="19.42578125" bestFit="1" customWidth="1"/>
    <col min="14" max="14" width="11.42578125" customWidth="1"/>
    <col min="16" max="16" width="22.7109375" bestFit="1" customWidth="1"/>
    <col min="17" max="17" width="10.28515625" customWidth="1"/>
  </cols>
  <sheetData>
    <row r="4" spans="2:17" x14ac:dyDescent="0.25">
      <c r="B4" s="47" t="s">
        <v>49</v>
      </c>
      <c r="C4" s="47" t="s">
        <v>50</v>
      </c>
      <c r="D4" s="48" t="s">
        <v>51</v>
      </c>
      <c r="E4" s="47" t="s">
        <v>52</v>
      </c>
      <c r="F4" s="47" t="s">
        <v>53</v>
      </c>
      <c r="G4" s="49" t="s">
        <v>54</v>
      </c>
      <c r="H4" s="49" t="s">
        <v>55</v>
      </c>
      <c r="I4" s="47" t="s">
        <v>56</v>
      </c>
      <c r="J4" s="47" t="s">
        <v>57</v>
      </c>
      <c r="K4" s="47" t="s">
        <v>58</v>
      </c>
      <c r="M4" s="54" t="s">
        <v>61</v>
      </c>
      <c r="N4" s="55">
        <f>VLOOKUP(N5, D4:K478, 4, )</f>
        <v>103750</v>
      </c>
    </row>
    <row r="5" spans="2:17" x14ac:dyDescent="0.25">
      <c r="B5" s="47">
        <v>1</v>
      </c>
      <c r="C5" s="47" t="s">
        <v>59</v>
      </c>
      <c r="D5" s="48">
        <v>19027</v>
      </c>
      <c r="E5" s="47">
        <v>15</v>
      </c>
      <c r="F5" s="47">
        <v>3</v>
      </c>
      <c r="G5" s="49">
        <v>57000</v>
      </c>
      <c r="H5" s="49">
        <v>27000</v>
      </c>
      <c r="I5" s="47">
        <v>98</v>
      </c>
      <c r="J5" s="47">
        <v>144</v>
      </c>
      <c r="K5" s="47">
        <v>0</v>
      </c>
      <c r="M5" s="54" t="s">
        <v>62</v>
      </c>
      <c r="N5" s="56">
        <v>20534</v>
      </c>
    </row>
    <row r="6" spans="2:17" x14ac:dyDescent="0.25">
      <c r="B6" s="47">
        <v>2</v>
      </c>
      <c r="C6" s="47" t="s">
        <v>59</v>
      </c>
      <c r="D6" s="48">
        <v>21328</v>
      </c>
      <c r="E6" s="47">
        <v>16</v>
      </c>
      <c r="F6" s="47">
        <v>1</v>
      </c>
      <c r="G6" s="49">
        <v>40200</v>
      </c>
      <c r="H6" s="49">
        <v>18750</v>
      </c>
      <c r="I6" s="47">
        <v>98</v>
      </c>
      <c r="J6" s="47">
        <v>36</v>
      </c>
      <c r="K6" s="47">
        <v>0</v>
      </c>
    </row>
    <row r="7" spans="2:17" x14ac:dyDescent="0.25">
      <c r="B7" s="47">
        <v>3</v>
      </c>
      <c r="C7" s="47" t="s">
        <v>60</v>
      </c>
      <c r="D7" s="48">
        <v>10800</v>
      </c>
      <c r="E7" s="47">
        <v>12</v>
      </c>
      <c r="F7" s="47">
        <v>1</v>
      </c>
      <c r="G7" s="49">
        <v>21450</v>
      </c>
      <c r="H7" s="49">
        <v>12000</v>
      </c>
      <c r="I7" s="47">
        <v>98</v>
      </c>
      <c r="J7" s="47">
        <v>381</v>
      </c>
      <c r="K7" s="47">
        <v>0</v>
      </c>
    </row>
    <row r="8" spans="2:17" x14ac:dyDescent="0.25">
      <c r="B8" s="47">
        <v>4</v>
      </c>
      <c r="C8" s="47" t="s">
        <v>60</v>
      </c>
      <c r="D8" s="48">
        <v>17272</v>
      </c>
      <c r="E8" s="47">
        <v>8</v>
      </c>
      <c r="F8" s="47">
        <v>1</v>
      </c>
      <c r="G8" s="49">
        <v>21900</v>
      </c>
      <c r="H8" s="49">
        <v>13200</v>
      </c>
      <c r="I8" s="47">
        <v>98</v>
      </c>
      <c r="J8" s="47">
        <v>190</v>
      </c>
      <c r="K8" s="47">
        <v>0</v>
      </c>
    </row>
    <row r="9" spans="2:17" x14ac:dyDescent="0.25">
      <c r="B9" s="47">
        <v>5</v>
      </c>
      <c r="C9" s="47" t="s">
        <v>59</v>
      </c>
      <c r="D9" s="48">
        <v>20129</v>
      </c>
      <c r="E9" s="47">
        <v>15</v>
      </c>
      <c r="F9" s="47">
        <v>1</v>
      </c>
      <c r="G9" s="49">
        <v>45000</v>
      </c>
      <c r="H9" s="49">
        <v>21000</v>
      </c>
      <c r="I9" s="47">
        <v>98</v>
      </c>
      <c r="J9" s="47">
        <v>138</v>
      </c>
      <c r="K9" s="47">
        <v>0</v>
      </c>
      <c r="O9" s="60"/>
    </row>
    <row r="10" spans="2:17" x14ac:dyDescent="0.25">
      <c r="B10" s="47">
        <v>6</v>
      </c>
      <c r="C10" s="47" t="s">
        <v>59</v>
      </c>
      <c r="D10" s="48">
        <v>21419</v>
      </c>
      <c r="E10" s="47">
        <v>15</v>
      </c>
      <c r="F10" s="47">
        <v>1</v>
      </c>
      <c r="G10" s="49">
        <v>32100</v>
      </c>
      <c r="H10" s="49">
        <v>13500</v>
      </c>
      <c r="I10" s="47">
        <v>98</v>
      </c>
      <c r="J10" s="47">
        <v>67</v>
      </c>
      <c r="K10" s="47">
        <v>0</v>
      </c>
      <c r="Q10" s="61"/>
    </row>
    <row r="11" spans="2:17" x14ac:dyDescent="0.25">
      <c r="B11" s="47">
        <v>7</v>
      </c>
      <c r="C11" s="47" t="s">
        <v>59</v>
      </c>
      <c r="D11" s="48">
        <v>20571</v>
      </c>
      <c r="E11" s="47">
        <v>15</v>
      </c>
      <c r="F11" s="47">
        <v>1</v>
      </c>
      <c r="G11" s="49">
        <v>36000</v>
      </c>
      <c r="H11" s="49">
        <v>18750</v>
      </c>
      <c r="I11" s="47">
        <v>98</v>
      </c>
      <c r="J11" s="47">
        <v>114</v>
      </c>
      <c r="K11" s="47">
        <v>0</v>
      </c>
      <c r="Q11" s="61"/>
    </row>
    <row r="12" spans="2:17" x14ac:dyDescent="0.25">
      <c r="B12" s="47">
        <v>8</v>
      </c>
      <c r="C12" s="47" t="s">
        <v>60</v>
      </c>
      <c r="D12" s="48">
        <v>24233</v>
      </c>
      <c r="E12" s="47">
        <v>12</v>
      </c>
      <c r="F12" s="47">
        <v>1</v>
      </c>
      <c r="G12" s="49">
        <v>21900</v>
      </c>
      <c r="H12" s="49">
        <v>9750</v>
      </c>
      <c r="I12" s="47">
        <v>98</v>
      </c>
      <c r="J12" s="47">
        <v>0</v>
      </c>
      <c r="K12" s="47">
        <v>0</v>
      </c>
      <c r="Q12" s="61"/>
    </row>
    <row r="13" spans="2:17" x14ac:dyDescent="0.25">
      <c r="B13" s="47">
        <v>9</v>
      </c>
      <c r="C13" s="47" t="s">
        <v>60</v>
      </c>
      <c r="D13" s="48">
        <v>16825</v>
      </c>
      <c r="E13" s="47">
        <v>15</v>
      </c>
      <c r="F13" s="47">
        <v>1</v>
      </c>
      <c r="G13" s="49">
        <v>27900</v>
      </c>
      <c r="H13" s="49">
        <v>12750</v>
      </c>
      <c r="I13" s="47">
        <v>98</v>
      </c>
      <c r="J13" s="47">
        <v>115</v>
      </c>
      <c r="K13" s="47">
        <v>0</v>
      </c>
      <c r="Q13" s="61"/>
    </row>
    <row r="14" spans="2:17" x14ac:dyDescent="0.25">
      <c r="B14" s="47">
        <v>10</v>
      </c>
      <c r="C14" s="47" t="s">
        <v>60</v>
      </c>
      <c r="D14" s="48">
        <v>16846</v>
      </c>
      <c r="E14" s="47">
        <v>12</v>
      </c>
      <c r="F14" s="47">
        <v>1</v>
      </c>
      <c r="G14" s="49">
        <v>24000</v>
      </c>
      <c r="H14" s="49">
        <v>13500</v>
      </c>
      <c r="I14" s="47">
        <v>98</v>
      </c>
      <c r="J14" s="47">
        <v>244</v>
      </c>
      <c r="K14" s="47">
        <v>0</v>
      </c>
      <c r="Q14" s="61"/>
    </row>
    <row r="15" spans="2:17" x14ac:dyDescent="0.25">
      <c r="B15" s="47">
        <v>11</v>
      </c>
      <c r="C15" s="47" t="s">
        <v>60</v>
      </c>
      <c r="D15" s="48">
        <v>18301</v>
      </c>
      <c r="E15" s="47">
        <v>16</v>
      </c>
      <c r="F15" s="47">
        <v>1</v>
      </c>
      <c r="G15" s="49">
        <v>30300</v>
      </c>
      <c r="H15" s="49">
        <v>16500</v>
      </c>
      <c r="I15" s="47">
        <v>98</v>
      </c>
      <c r="J15" s="47">
        <v>143</v>
      </c>
      <c r="K15" s="47">
        <v>0</v>
      </c>
    </row>
    <row r="16" spans="2:17" x14ac:dyDescent="0.25">
      <c r="B16" s="47">
        <v>12</v>
      </c>
      <c r="C16" s="47" t="s">
        <v>59</v>
      </c>
      <c r="D16" s="48">
        <v>24118</v>
      </c>
      <c r="E16" s="47">
        <v>8</v>
      </c>
      <c r="F16" s="47">
        <v>1</v>
      </c>
      <c r="G16" s="49">
        <v>28350</v>
      </c>
      <c r="H16" s="49">
        <v>12000</v>
      </c>
      <c r="I16" s="47">
        <v>98</v>
      </c>
      <c r="J16" s="47">
        <v>26</v>
      </c>
      <c r="K16" s="47">
        <v>1</v>
      </c>
    </row>
    <row r="17" spans="2:11" x14ac:dyDescent="0.25">
      <c r="B17" s="47">
        <v>13</v>
      </c>
      <c r="C17" s="47" t="s">
        <v>59</v>
      </c>
      <c r="D17" s="48">
        <v>22114</v>
      </c>
      <c r="E17" s="47">
        <v>15</v>
      </c>
      <c r="F17" s="47">
        <v>1</v>
      </c>
      <c r="G17" s="49">
        <v>27750</v>
      </c>
      <c r="H17" s="49">
        <v>14250</v>
      </c>
      <c r="I17" s="47">
        <v>98</v>
      </c>
      <c r="J17" s="47">
        <v>34</v>
      </c>
      <c r="K17" s="47">
        <v>1</v>
      </c>
    </row>
    <row r="18" spans="2:11" x14ac:dyDescent="0.25">
      <c r="B18" s="47">
        <v>14</v>
      </c>
      <c r="C18" s="47" t="s">
        <v>60</v>
      </c>
      <c r="D18" s="48">
        <v>17955</v>
      </c>
      <c r="E18" s="47">
        <v>15</v>
      </c>
      <c r="F18" s="47">
        <v>1</v>
      </c>
      <c r="G18" s="49">
        <v>35100</v>
      </c>
      <c r="H18" s="49">
        <v>16800</v>
      </c>
      <c r="I18" s="47">
        <v>98</v>
      </c>
      <c r="J18" s="47">
        <v>137</v>
      </c>
      <c r="K18" s="47">
        <v>1</v>
      </c>
    </row>
    <row r="19" spans="2:11" x14ac:dyDescent="0.25">
      <c r="B19" s="47">
        <v>15</v>
      </c>
      <c r="C19" s="47" t="s">
        <v>59</v>
      </c>
      <c r="D19" s="48">
        <v>22887</v>
      </c>
      <c r="E19" s="47">
        <v>12</v>
      </c>
      <c r="F19" s="47">
        <v>1</v>
      </c>
      <c r="G19" s="49">
        <v>27300</v>
      </c>
      <c r="H19" s="49">
        <v>13500</v>
      </c>
      <c r="I19" s="47">
        <v>97</v>
      </c>
      <c r="J19" s="47">
        <v>66</v>
      </c>
      <c r="K19" s="47">
        <v>0</v>
      </c>
    </row>
    <row r="20" spans="2:11" x14ac:dyDescent="0.25">
      <c r="B20" s="47">
        <v>16</v>
      </c>
      <c r="C20" s="47" t="s">
        <v>59</v>
      </c>
      <c r="D20" s="48">
        <v>23698</v>
      </c>
      <c r="E20" s="47">
        <v>12</v>
      </c>
      <c r="F20" s="47">
        <v>1</v>
      </c>
      <c r="G20" s="49">
        <v>40800</v>
      </c>
      <c r="H20" s="49">
        <v>15000</v>
      </c>
      <c r="I20" s="47">
        <v>97</v>
      </c>
      <c r="J20" s="47">
        <v>24</v>
      </c>
      <c r="K20" s="47">
        <v>0</v>
      </c>
    </row>
    <row r="21" spans="2:11" x14ac:dyDescent="0.25">
      <c r="B21" s="47">
        <v>17</v>
      </c>
      <c r="C21" s="47" t="s">
        <v>59</v>
      </c>
      <c r="D21" s="48">
        <v>22845</v>
      </c>
      <c r="E21" s="47">
        <v>15</v>
      </c>
      <c r="F21" s="47">
        <v>1</v>
      </c>
      <c r="G21" s="49">
        <v>46000</v>
      </c>
      <c r="H21" s="49">
        <v>14250</v>
      </c>
      <c r="I21" s="47">
        <v>97</v>
      </c>
      <c r="J21" s="47">
        <v>48</v>
      </c>
      <c r="K21" s="47">
        <v>0</v>
      </c>
    </row>
    <row r="22" spans="2:11" x14ac:dyDescent="0.25">
      <c r="B22" s="47">
        <v>18</v>
      </c>
      <c r="C22" s="47" t="s">
        <v>59</v>
      </c>
      <c r="D22" s="48">
        <v>20534</v>
      </c>
      <c r="E22" s="47">
        <v>16</v>
      </c>
      <c r="F22" s="47">
        <v>3</v>
      </c>
      <c r="G22" s="49">
        <v>103750</v>
      </c>
      <c r="H22" s="49">
        <v>27510</v>
      </c>
      <c r="I22" s="47">
        <v>97</v>
      </c>
      <c r="J22" s="47">
        <v>70</v>
      </c>
      <c r="K22" s="47">
        <v>0</v>
      </c>
    </row>
    <row r="23" spans="2:11" x14ac:dyDescent="0.25">
      <c r="B23" s="47">
        <v>19</v>
      </c>
      <c r="C23" s="47" t="s">
        <v>59</v>
      </c>
      <c r="D23" s="48">
        <v>22877</v>
      </c>
      <c r="E23" s="47">
        <v>12</v>
      </c>
      <c r="F23" s="47">
        <v>1</v>
      </c>
      <c r="G23" s="49">
        <v>42300</v>
      </c>
      <c r="H23" s="49">
        <v>14250</v>
      </c>
      <c r="I23" s="47">
        <v>97</v>
      </c>
      <c r="J23" s="47">
        <v>103</v>
      </c>
      <c r="K23" s="47">
        <v>0</v>
      </c>
    </row>
    <row r="24" spans="2:11" x14ac:dyDescent="0.25">
      <c r="B24" s="47">
        <v>20</v>
      </c>
      <c r="C24" s="47" t="s">
        <v>60</v>
      </c>
      <c r="D24" s="48">
        <v>14633</v>
      </c>
      <c r="E24" s="47">
        <v>12</v>
      </c>
      <c r="F24" s="47">
        <v>1</v>
      </c>
      <c r="G24" s="49">
        <v>26250</v>
      </c>
      <c r="H24" s="49">
        <v>11550</v>
      </c>
      <c r="I24" s="47">
        <v>97</v>
      </c>
      <c r="J24" s="47">
        <v>48</v>
      </c>
      <c r="K24" s="47">
        <v>0</v>
      </c>
    </row>
    <row r="25" spans="2:11" x14ac:dyDescent="0.25">
      <c r="B25" s="47">
        <v>21</v>
      </c>
      <c r="C25" s="47" t="s">
        <v>60</v>
      </c>
      <c r="D25" s="48">
        <v>23061</v>
      </c>
      <c r="E25" s="47">
        <v>16</v>
      </c>
      <c r="F25" s="47">
        <v>1</v>
      </c>
      <c r="G25" s="49">
        <v>38850</v>
      </c>
      <c r="H25" s="49">
        <v>15000</v>
      </c>
      <c r="I25" s="47">
        <v>97</v>
      </c>
      <c r="J25" s="47">
        <v>17</v>
      </c>
      <c r="K25" s="47">
        <v>0</v>
      </c>
    </row>
    <row r="26" spans="2:11" x14ac:dyDescent="0.25">
      <c r="B26" s="47">
        <v>22</v>
      </c>
      <c r="C26" s="47" t="s">
        <v>59</v>
      </c>
      <c r="D26" s="48">
        <v>14878</v>
      </c>
      <c r="E26" s="47">
        <v>12</v>
      </c>
      <c r="F26" s="47">
        <v>1</v>
      </c>
      <c r="G26" s="49">
        <v>21750</v>
      </c>
      <c r="H26" s="49">
        <v>12750</v>
      </c>
      <c r="I26" s="47">
        <v>97</v>
      </c>
      <c r="J26" s="47">
        <v>315</v>
      </c>
      <c r="K26" s="47">
        <v>1</v>
      </c>
    </row>
    <row r="27" spans="2:11" x14ac:dyDescent="0.25">
      <c r="B27" s="47">
        <v>23</v>
      </c>
      <c r="C27" s="47" t="s">
        <v>60</v>
      </c>
      <c r="D27" s="48">
        <v>23816</v>
      </c>
      <c r="E27" s="47">
        <v>15</v>
      </c>
      <c r="F27" s="47">
        <v>1</v>
      </c>
      <c r="G27" s="49">
        <v>24000</v>
      </c>
      <c r="H27" s="49">
        <v>11100</v>
      </c>
      <c r="I27" s="47">
        <v>97</v>
      </c>
      <c r="J27" s="47">
        <v>75</v>
      </c>
      <c r="K27" s="47">
        <v>1</v>
      </c>
    </row>
    <row r="28" spans="2:11" x14ac:dyDescent="0.25">
      <c r="B28" s="47">
        <v>24</v>
      </c>
      <c r="C28" s="47" t="s">
        <v>60</v>
      </c>
      <c r="D28" s="48">
        <v>12140</v>
      </c>
      <c r="E28" s="47">
        <v>12</v>
      </c>
      <c r="F28" s="47">
        <v>1</v>
      </c>
      <c r="G28" s="49">
        <v>16950</v>
      </c>
      <c r="H28" s="49">
        <v>9000</v>
      </c>
      <c r="I28" s="47">
        <v>97</v>
      </c>
      <c r="J28" s="47">
        <v>124</v>
      </c>
      <c r="K28" s="47">
        <v>1</v>
      </c>
    </row>
    <row r="29" spans="2:11" x14ac:dyDescent="0.25">
      <c r="B29" s="47">
        <v>25</v>
      </c>
      <c r="C29" s="47" t="s">
        <v>60</v>
      </c>
      <c r="D29" s="48">
        <v>15523</v>
      </c>
      <c r="E29" s="47">
        <v>15</v>
      </c>
      <c r="F29" s="47">
        <v>1</v>
      </c>
      <c r="G29" s="49">
        <v>21150</v>
      </c>
      <c r="H29" s="49">
        <v>9000</v>
      </c>
      <c r="I29" s="47">
        <v>97</v>
      </c>
      <c r="J29" s="47">
        <v>171</v>
      </c>
      <c r="K29" s="47">
        <v>1</v>
      </c>
    </row>
    <row r="30" spans="2:11" x14ac:dyDescent="0.25">
      <c r="B30" s="47">
        <v>26</v>
      </c>
      <c r="C30" s="47" t="s">
        <v>59</v>
      </c>
      <c r="D30" s="48">
        <v>24419</v>
      </c>
      <c r="E30" s="47">
        <v>15</v>
      </c>
      <c r="F30" s="47">
        <v>1</v>
      </c>
      <c r="G30" s="49">
        <v>31050</v>
      </c>
      <c r="H30" s="49">
        <v>12600</v>
      </c>
      <c r="I30" s="47">
        <v>96</v>
      </c>
      <c r="J30" s="47">
        <v>14</v>
      </c>
      <c r="K30" s="47">
        <v>0</v>
      </c>
    </row>
    <row r="31" spans="2:11" x14ac:dyDescent="0.25">
      <c r="B31" s="47">
        <v>27</v>
      </c>
      <c r="C31" s="47" t="s">
        <v>59</v>
      </c>
      <c r="D31" s="48">
        <v>19802</v>
      </c>
      <c r="E31" s="47">
        <v>19</v>
      </c>
      <c r="F31" s="47">
        <v>3</v>
      </c>
      <c r="G31" s="49">
        <v>60375</v>
      </c>
      <c r="H31" s="49">
        <v>27480</v>
      </c>
      <c r="I31" s="47">
        <v>96</v>
      </c>
      <c r="J31" s="47">
        <v>96</v>
      </c>
      <c r="K31" s="47">
        <v>0</v>
      </c>
    </row>
    <row r="32" spans="2:11" x14ac:dyDescent="0.25">
      <c r="B32" s="47">
        <v>28</v>
      </c>
      <c r="C32" s="47" t="s">
        <v>59</v>
      </c>
      <c r="D32" s="48">
        <v>23112</v>
      </c>
      <c r="E32" s="47">
        <v>15</v>
      </c>
      <c r="F32" s="47">
        <v>1</v>
      </c>
      <c r="G32" s="49">
        <v>32550</v>
      </c>
      <c r="H32" s="49">
        <v>14250</v>
      </c>
      <c r="I32" s="47">
        <v>96</v>
      </c>
      <c r="J32" s="47">
        <v>43</v>
      </c>
      <c r="K32" s="47">
        <v>0</v>
      </c>
    </row>
    <row r="33" spans="2:11" x14ac:dyDescent="0.25">
      <c r="B33" s="47">
        <v>29</v>
      </c>
      <c r="C33" s="47" t="s">
        <v>59</v>
      </c>
      <c r="D33" s="48">
        <v>16099</v>
      </c>
      <c r="E33" s="47">
        <v>19</v>
      </c>
      <c r="F33" s="47">
        <v>3</v>
      </c>
      <c r="G33" s="49">
        <v>135000</v>
      </c>
      <c r="H33" s="49">
        <v>79980</v>
      </c>
      <c r="I33" s="47">
        <v>96</v>
      </c>
      <c r="J33" s="47">
        <v>199</v>
      </c>
      <c r="K33" s="47">
        <v>0</v>
      </c>
    </row>
    <row r="34" spans="2:11" x14ac:dyDescent="0.25">
      <c r="B34" s="47">
        <v>30</v>
      </c>
      <c r="C34" s="47" t="s">
        <v>59</v>
      </c>
      <c r="D34" s="48">
        <v>22541</v>
      </c>
      <c r="E34" s="47">
        <v>15</v>
      </c>
      <c r="F34" s="47">
        <v>1</v>
      </c>
      <c r="G34" s="49">
        <v>31200</v>
      </c>
      <c r="H34" s="49">
        <v>14250</v>
      </c>
      <c r="I34" s="47">
        <v>96</v>
      </c>
      <c r="J34" s="47">
        <v>54</v>
      </c>
      <c r="K34" s="47">
        <v>0</v>
      </c>
    </row>
    <row r="35" spans="2:11" x14ac:dyDescent="0.25">
      <c r="B35" s="47">
        <v>31</v>
      </c>
      <c r="C35" s="47" t="s">
        <v>59</v>
      </c>
      <c r="D35" s="48">
        <v>23431</v>
      </c>
      <c r="E35" s="47">
        <v>12</v>
      </c>
      <c r="F35" s="47">
        <v>1</v>
      </c>
      <c r="G35" s="49">
        <v>36150</v>
      </c>
      <c r="H35" s="49">
        <v>14250</v>
      </c>
      <c r="I35" s="47">
        <v>96</v>
      </c>
      <c r="J35" s="47">
        <v>83</v>
      </c>
      <c r="K35" s="47">
        <v>0</v>
      </c>
    </row>
    <row r="36" spans="2:11" x14ac:dyDescent="0.25">
      <c r="B36" s="47">
        <v>32</v>
      </c>
      <c r="C36" s="47" t="s">
        <v>59</v>
      </c>
      <c r="D36" s="48">
        <v>19752</v>
      </c>
      <c r="E36" s="47">
        <v>19</v>
      </c>
      <c r="F36" s="47">
        <v>3</v>
      </c>
      <c r="G36" s="49">
        <v>110625</v>
      </c>
      <c r="H36" s="49">
        <v>45000</v>
      </c>
      <c r="I36" s="47">
        <v>96</v>
      </c>
      <c r="J36" s="47">
        <v>120</v>
      </c>
      <c r="K36" s="47">
        <v>0</v>
      </c>
    </row>
    <row r="37" spans="2:11" x14ac:dyDescent="0.25">
      <c r="B37" s="47">
        <v>33</v>
      </c>
      <c r="C37" s="47" t="s">
        <v>59</v>
      </c>
      <c r="D37" s="48">
        <v>22358</v>
      </c>
      <c r="E37" s="47">
        <v>15</v>
      </c>
      <c r="F37" s="47">
        <v>1</v>
      </c>
      <c r="G37" s="49">
        <v>42000</v>
      </c>
      <c r="H37" s="49">
        <v>15000</v>
      </c>
      <c r="I37" s="47">
        <v>96</v>
      </c>
      <c r="J37" s="47">
        <v>68</v>
      </c>
      <c r="K37" s="47">
        <v>0</v>
      </c>
    </row>
    <row r="38" spans="2:11" x14ac:dyDescent="0.25">
      <c r="B38" s="47">
        <v>343</v>
      </c>
      <c r="C38" s="47" t="s">
        <v>59</v>
      </c>
      <c r="D38" s="48">
        <v>19519</v>
      </c>
      <c r="E38" s="47">
        <v>16</v>
      </c>
      <c r="F38" s="47">
        <v>3</v>
      </c>
      <c r="G38" s="49">
        <v>103500</v>
      </c>
      <c r="H38" s="49">
        <v>60000</v>
      </c>
      <c r="I38" s="47">
        <v>73</v>
      </c>
      <c r="J38" s="47">
        <v>150</v>
      </c>
      <c r="K38" s="47">
        <v>0</v>
      </c>
    </row>
    <row r="39" spans="2:11" x14ac:dyDescent="0.25">
      <c r="B39" s="47">
        <v>446</v>
      </c>
      <c r="C39" s="47" t="s">
        <v>59</v>
      </c>
      <c r="D39" s="48">
        <v>21400</v>
      </c>
      <c r="E39" s="47">
        <v>16</v>
      </c>
      <c r="F39" s="47">
        <v>3</v>
      </c>
      <c r="G39" s="49">
        <v>100000</v>
      </c>
      <c r="H39" s="49">
        <v>44100</v>
      </c>
      <c r="I39" s="47">
        <v>66</v>
      </c>
      <c r="J39" s="47">
        <v>128</v>
      </c>
      <c r="K39" s="47">
        <v>1</v>
      </c>
    </row>
    <row r="40" spans="2:11" x14ac:dyDescent="0.25">
      <c r="B40" s="47">
        <v>36</v>
      </c>
      <c r="C40" s="47" t="s">
        <v>60</v>
      </c>
      <c r="D40" s="48">
        <v>23230</v>
      </c>
      <c r="E40" s="47">
        <v>8</v>
      </c>
      <c r="F40" s="47">
        <v>1</v>
      </c>
      <c r="G40" s="49">
        <v>31350</v>
      </c>
      <c r="H40" s="49">
        <v>11250</v>
      </c>
      <c r="I40" s="47">
        <v>96</v>
      </c>
      <c r="J40" s="47">
        <v>52</v>
      </c>
      <c r="K40" s="47">
        <v>0</v>
      </c>
    </row>
    <row r="41" spans="2:11" x14ac:dyDescent="0.25">
      <c r="B41" s="47">
        <v>37</v>
      </c>
      <c r="C41" s="47" t="s">
        <v>59</v>
      </c>
      <c r="D41" s="48">
        <v>20006</v>
      </c>
      <c r="E41" s="47">
        <v>12</v>
      </c>
      <c r="F41" s="47">
        <v>1</v>
      </c>
      <c r="G41" s="49">
        <v>29100</v>
      </c>
      <c r="H41" s="49">
        <v>13500</v>
      </c>
      <c r="I41" s="47">
        <v>96</v>
      </c>
      <c r="J41" s="47">
        <v>113</v>
      </c>
      <c r="K41" s="47">
        <v>1</v>
      </c>
    </row>
    <row r="42" spans="2:11" x14ac:dyDescent="0.25">
      <c r="B42" s="47">
        <v>38</v>
      </c>
      <c r="C42" s="47" t="s">
        <v>59</v>
      </c>
      <c r="D42" s="48">
        <v>22763</v>
      </c>
      <c r="E42" s="47">
        <v>15</v>
      </c>
      <c r="F42" s="47">
        <v>1</v>
      </c>
      <c r="G42" s="49">
        <v>31350</v>
      </c>
      <c r="H42" s="49">
        <v>15000</v>
      </c>
      <c r="I42" s="47">
        <v>96</v>
      </c>
      <c r="J42" s="47">
        <v>49</v>
      </c>
      <c r="K42" s="47">
        <v>1</v>
      </c>
    </row>
    <row r="43" spans="2:11" x14ac:dyDescent="0.25">
      <c r="B43" s="47">
        <v>39</v>
      </c>
      <c r="C43" s="47" t="s">
        <v>59</v>
      </c>
      <c r="D43" s="48">
        <v>22089</v>
      </c>
      <c r="E43" s="47">
        <v>16</v>
      </c>
      <c r="F43" s="47">
        <v>1</v>
      </c>
      <c r="G43" s="49">
        <v>36000</v>
      </c>
      <c r="H43" s="49">
        <v>15000</v>
      </c>
      <c r="I43" s="47">
        <v>96</v>
      </c>
      <c r="J43" s="47">
        <v>46</v>
      </c>
      <c r="K43" s="47">
        <v>1</v>
      </c>
    </row>
    <row r="44" spans="2:11" x14ac:dyDescent="0.25">
      <c r="B44" s="47">
        <v>40</v>
      </c>
      <c r="C44" s="47" t="s">
        <v>60</v>
      </c>
      <c r="D44" s="48">
        <v>12294</v>
      </c>
      <c r="E44" s="47">
        <v>15</v>
      </c>
      <c r="F44" s="47">
        <v>1</v>
      </c>
      <c r="G44" s="49">
        <v>19200</v>
      </c>
      <c r="H44" s="49">
        <v>9000</v>
      </c>
      <c r="I44" s="47">
        <v>96</v>
      </c>
      <c r="J44" s="47">
        <v>23</v>
      </c>
      <c r="K44" s="47">
        <v>1</v>
      </c>
    </row>
    <row r="45" spans="2:11" x14ac:dyDescent="0.25">
      <c r="B45" s="47">
        <v>41</v>
      </c>
      <c r="C45" s="47" t="s">
        <v>60</v>
      </c>
      <c r="D45" s="48">
        <v>22358</v>
      </c>
      <c r="E45" s="47">
        <v>12</v>
      </c>
      <c r="F45" s="47">
        <v>1</v>
      </c>
      <c r="G45" s="49">
        <v>23550</v>
      </c>
      <c r="H45" s="49">
        <v>11550</v>
      </c>
      <c r="I45" s="47">
        <v>96</v>
      </c>
      <c r="J45" s="47">
        <v>52</v>
      </c>
      <c r="K45" s="47">
        <v>1</v>
      </c>
    </row>
    <row r="46" spans="2:11" x14ac:dyDescent="0.25">
      <c r="B46" s="47">
        <v>42</v>
      </c>
      <c r="C46" s="47" t="s">
        <v>59</v>
      </c>
      <c r="D46" s="48">
        <v>22182</v>
      </c>
      <c r="E46" s="47">
        <v>15</v>
      </c>
      <c r="F46" s="47">
        <v>1</v>
      </c>
      <c r="G46" s="49">
        <v>35100</v>
      </c>
      <c r="H46" s="49">
        <v>16500</v>
      </c>
      <c r="I46" s="47">
        <v>95</v>
      </c>
      <c r="J46" s="47">
        <v>90</v>
      </c>
      <c r="K46" s="47">
        <v>0</v>
      </c>
    </row>
    <row r="47" spans="2:11" x14ac:dyDescent="0.25">
      <c r="B47" s="47">
        <v>43</v>
      </c>
      <c r="C47" s="47" t="s">
        <v>59</v>
      </c>
      <c r="D47" s="48">
        <v>23394</v>
      </c>
      <c r="E47" s="47">
        <v>12</v>
      </c>
      <c r="F47" s="47">
        <v>1</v>
      </c>
      <c r="G47" s="49">
        <v>23250</v>
      </c>
      <c r="H47" s="49">
        <v>14250</v>
      </c>
      <c r="I47" s="47">
        <v>95</v>
      </c>
      <c r="J47" s="47">
        <v>46</v>
      </c>
      <c r="K47" s="47">
        <v>0</v>
      </c>
    </row>
    <row r="48" spans="2:11" x14ac:dyDescent="0.25">
      <c r="B48" s="47">
        <v>44</v>
      </c>
      <c r="C48" s="47" t="s">
        <v>59</v>
      </c>
      <c r="D48" s="48">
        <v>23177</v>
      </c>
      <c r="E48" s="47">
        <v>8</v>
      </c>
      <c r="F48" s="47">
        <v>1</v>
      </c>
      <c r="G48" s="49">
        <v>29250</v>
      </c>
      <c r="H48" s="49">
        <v>14250</v>
      </c>
      <c r="I48" s="47">
        <v>95</v>
      </c>
      <c r="J48" s="47">
        <v>50</v>
      </c>
      <c r="K48" s="47">
        <v>0</v>
      </c>
    </row>
    <row r="49" spans="2:11" x14ac:dyDescent="0.25">
      <c r="B49" s="47">
        <v>45</v>
      </c>
      <c r="C49" s="47" t="s">
        <v>59</v>
      </c>
      <c r="D49" s="48">
        <v>14094</v>
      </c>
      <c r="E49" s="47">
        <v>12</v>
      </c>
      <c r="F49" s="47">
        <v>2</v>
      </c>
      <c r="G49" s="49">
        <v>30750</v>
      </c>
      <c r="H49" s="49">
        <v>13500</v>
      </c>
      <c r="I49" s="47">
        <v>95</v>
      </c>
      <c r="J49" s="47">
        <v>307</v>
      </c>
      <c r="K49" s="47">
        <v>0</v>
      </c>
    </row>
    <row r="50" spans="2:11" x14ac:dyDescent="0.25">
      <c r="B50" s="47">
        <v>46</v>
      </c>
      <c r="C50" s="47" t="s">
        <v>60</v>
      </c>
      <c r="D50" s="48">
        <v>14933</v>
      </c>
      <c r="E50" s="47">
        <v>15</v>
      </c>
      <c r="F50" s="47">
        <v>1</v>
      </c>
      <c r="G50" s="49">
        <v>22350</v>
      </c>
      <c r="H50" s="49">
        <v>12750</v>
      </c>
      <c r="I50" s="47">
        <v>95</v>
      </c>
      <c r="J50" s="47">
        <v>165</v>
      </c>
      <c r="K50" s="47">
        <v>0</v>
      </c>
    </row>
    <row r="51" spans="2:11" x14ac:dyDescent="0.25">
      <c r="B51" s="47">
        <v>47</v>
      </c>
      <c r="C51" s="47" t="s">
        <v>60</v>
      </c>
      <c r="D51" s="48">
        <v>13998</v>
      </c>
      <c r="E51" s="47">
        <v>12</v>
      </c>
      <c r="F51" s="47">
        <v>1</v>
      </c>
      <c r="G51" s="49">
        <v>30000</v>
      </c>
      <c r="H51" s="49">
        <v>16500</v>
      </c>
      <c r="I51" s="47">
        <v>95</v>
      </c>
      <c r="J51" s="47">
        <v>228</v>
      </c>
      <c r="K51" s="47">
        <v>0</v>
      </c>
    </row>
    <row r="52" spans="2:11" x14ac:dyDescent="0.25">
      <c r="B52" s="47">
        <v>48</v>
      </c>
      <c r="C52" s="47" t="s">
        <v>59</v>
      </c>
      <c r="D52" s="48">
        <v>17325</v>
      </c>
      <c r="E52" s="47">
        <v>12</v>
      </c>
      <c r="F52" s="47">
        <v>2</v>
      </c>
      <c r="G52" s="49">
        <v>30750</v>
      </c>
      <c r="H52" s="49">
        <v>14100</v>
      </c>
      <c r="I52" s="47">
        <v>94</v>
      </c>
      <c r="J52" s="47">
        <v>240</v>
      </c>
      <c r="K52" s="47">
        <v>0</v>
      </c>
    </row>
    <row r="53" spans="2:11" x14ac:dyDescent="0.25">
      <c r="B53" s="47">
        <v>49</v>
      </c>
      <c r="C53" s="47" t="s">
        <v>59</v>
      </c>
      <c r="D53" s="48">
        <v>21444</v>
      </c>
      <c r="E53" s="47">
        <v>15</v>
      </c>
      <c r="F53" s="47">
        <v>1</v>
      </c>
      <c r="G53" s="49">
        <v>34800</v>
      </c>
      <c r="H53" s="49">
        <v>16500</v>
      </c>
      <c r="I53" s="47">
        <v>94</v>
      </c>
      <c r="J53" s="47">
        <v>93</v>
      </c>
      <c r="K53" s="47">
        <v>0</v>
      </c>
    </row>
    <row r="54" spans="2:11" x14ac:dyDescent="0.25">
      <c r="B54" s="47">
        <v>50</v>
      </c>
      <c r="C54" s="47" t="s">
        <v>59</v>
      </c>
      <c r="D54" s="48">
        <v>21955</v>
      </c>
      <c r="E54" s="47">
        <v>16</v>
      </c>
      <c r="F54" s="47">
        <v>3</v>
      </c>
      <c r="G54" s="49">
        <v>60000</v>
      </c>
      <c r="H54" s="49">
        <v>23730</v>
      </c>
      <c r="I54" s="47">
        <v>94</v>
      </c>
      <c r="J54" s="47">
        <v>59</v>
      </c>
      <c r="K54" s="47">
        <v>0</v>
      </c>
    </row>
    <row r="55" spans="2:11" x14ac:dyDescent="0.25">
      <c r="B55" s="47">
        <v>51</v>
      </c>
      <c r="C55" s="47" t="s">
        <v>59</v>
      </c>
      <c r="D55" s="48">
        <v>22835</v>
      </c>
      <c r="E55" s="47">
        <v>12</v>
      </c>
      <c r="F55" s="47">
        <v>1</v>
      </c>
      <c r="G55" s="49">
        <v>35550</v>
      </c>
      <c r="H55" s="49">
        <v>15000</v>
      </c>
      <c r="I55" s="47">
        <v>94</v>
      </c>
      <c r="J55" s="47">
        <v>48</v>
      </c>
      <c r="K55" s="47">
        <v>0</v>
      </c>
    </row>
    <row r="56" spans="2:11" x14ac:dyDescent="0.25">
      <c r="B56" s="47">
        <v>52</v>
      </c>
      <c r="C56" s="47" t="s">
        <v>59</v>
      </c>
      <c r="D56" s="48">
        <v>23327</v>
      </c>
      <c r="E56" s="47">
        <v>15</v>
      </c>
      <c r="F56" s="47">
        <v>1</v>
      </c>
      <c r="G56" s="49">
        <v>45150</v>
      </c>
      <c r="H56" s="49">
        <v>15000</v>
      </c>
      <c r="I56" s="47">
        <v>94</v>
      </c>
      <c r="J56" s="47">
        <v>40</v>
      </c>
      <c r="K56" s="47">
        <v>0</v>
      </c>
    </row>
    <row r="57" spans="2:11" x14ac:dyDescent="0.25">
      <c r="B57" s="47">
        <v>103</v>
      </c>
      <c r="C57" s="47" t="s">
        <v>59</v>
      </c>
      <c r="D57" s="48">
        <v>21626</v>
      </c>
      <c r="E57" s="47">
        <v>19</v>
      </c>
      <c r="F57" s="47">
        <v>3</v>
      </c>
      <c r="G57" s="49">
        <v>97000</v>
      </c>
      <c r="H57" s="49">
        <v>35010</v>
      </c>
      <c r="I57" s="47">
        <v>91</v>
      </c>
      <c r="J57" s="47">
        <v>68</v>
      </c>
      <c r="K57" s="47">
        <v>0</v>
      </c>
    </row>
    <row r="58" spans="2:11" x14ac:dyDescent="0.25">
      <c r="B58" s="47">
        <v>54</v>
      </c>
      <c r="C58" s="47" t="s">
        <v>59</v>
      </c>
      <c r="D58" s="48">
        <v>11478</v>
      </c>
      <c r="E58" s="47">
        <v>12</v>
      </c>
      <c r="F58" s="47">
        <v>1</v>
      </c>
      <c r="G58" s="49">
        <v>25050</v>
      </c>
      <c r="H58" s="49">
        <v>13500</v>
      </c>
      <c r="I58" s="47">
        <v>94</v>
      </c>
      <c r="J58" s="47">
        <v>444</v>
      </c>
      <c r="K58" s="47">
        <v>0</v>
      </c>
    </row>
    <row r="59" spans="2:11" x14ac:dyDescent="0.25">
      <c r="B59" s="47">
        <v>55</v>
      </c>
      <c r="C59" s="47" t="s">
        <v>59</v>
      </c>
      <c r="D59" s="48">
        <v>22092</v>
      </c>
      <c r="E59" s="47">
        <v>12</v>
      </c>
      <c r="F59" s="47">
        <v>1</v>
      </c>
      <c r="G59" s="49">
        <v>27000</v>
      </c>
      <c r="H59" s="49">
        <v>15000</v>
      </c>
      <c r="I59" s="47">
        <v>94</v>
      </c>
      <c r="J59" s="47">
        <v>120</v>
      </c>
      <c r="K59" s="47">
        <v>0</v>
      </c>
    </row>
    <row r="60" spans="2:11" x14ac:dyDescent="0.25">
      <c r="B60" s="47">
        <v>56</v>
      </c>
      <c r="C60" s="47" t="s">
        <v>59</v>
      </c>
      <c r="D60" s="48">
        <v>22752</v>
      </c>
      <c r="E60" s="47">
        <v>15</v>
      </c>
      <c r="F60" s="47">
        <v>1</v>
      </c>
      <c r="G60" s="49">
        <v>26850</v>
      </c>
      <c r="H60" s="49">
        <v>13500</v>
      </c>
      <c r="I60" s="47">
        <v>94</v>
      </c>
      <c r="J60" s="47">
        <v>5</v>
      </c>
      <c r="K60" s="47">
        <v>0</v>
      </c>
    </row>
    <row r="61" spans="2:11" x14ac:dyDescent="0.25">
      <c r="B61" s="47">
        <v>57</v>
      </c>
      <c r="C61" s="47" t="s">
        <v>59</v>
      </c>
      <c r="D61" s="48">
        <v>23116</v>
      </c>
      <c r="E61" s="47">
        <v>15</v>
      </c>
      <c r="F61" s="47">
        <v>1</v>
      </c>
      <c r="G61" s="49">
        <v>33900</v>
      </c>
      <c r="H61" s="49">
        <v>15750</v>
      </c>
      <c r="I61" s="47">
        <v>94</v>
      </c>
      <c r="J61" s="47">
        <v>78</v>
      </c>
      <c r="K61" s="47">
        <v>0</v>
      </c>
    </row>
    <row r="62" spans="2:11" x14ac:dyDescent="0.25">
      <c r="B62" s="47">
        <v>58</v>
      </c>
      <c r="C62" s="47" t="s">
        <v>60</v>
      </c>
      <c r="D62" s="48">
        <v>23695</v>
      </c>
      <c r="E62" s="47">
        <v>15</v>
      </c>
      <c r="F62" s="47">
        <v>1</v>
      </c>
      <c r="G62" s="49">
        <v>26400</v>
      </c>
      <c r="H62" s="49">
        <v>13500</v>
      </c>
      <c r="I62" s="47">
        <v>94</v>
      </c>
      <c r="J62" s="47">
        <v>3</v>
      </c>
      <c r="K62" s="47">
        <v>0</v>
      </c>
    </row>
    <row r="63" spans="2:11" x14ac:dyDescent="0.25">
      <c r="B63" s="47">
        <v>59</v>
      </c>
      <c r="C63" s="47" t="s">
        <v>59</v>
      </c>
      <c r="D63" s="48">
        <v>22408</v>
      </c>
      <c r="E63" s="47">
        <v>15</v>
      </c>
      <c r="F63" s="47">
        <v>1</v>
      </c>
      <c r="G63" s="49">
        <v>28050</v>
      </c>
      <c r="H63" s="49">
        <v>14250</v>
      </c>
      <c r="I63" s="47">
        <v>94</v>
      </c>
      <c r="J63" s="47">
        <v>36</v>
      </c>
      <c r="K63" s="47">
        <v>1</v>
      </c>
    </row>
    <row r="64" spans="2:11" x14ac:dyDescent="0.25">
      <c r="B64" s="47">
        <v>60</v>
      </c>
      <c r="C64" s="47" t="s">
        <v>59</v>
      </c>
      <c r="D64" s="48">
        <v>21597</v>
      </c>
      <c r="E64" s="47">
        <v>12</v>
      </c>
      <c r="F64" s="47">
        <v>1</v>
      </c>
      <c r="G64" s="49">
        <v>30900</v>
      </c>
      <c r="H64" s="49">
        <v>15000</v>
      </c>
      <c r="I64" s="47">
        <v>94</v>
      </c>
      <c r="J64" s="47">
        <v>102</v>
      </c>
      <c r="K64" s="47">
        <v>1</v>
      </c>
    </row>
    <row r="65" spans="2:11" x14ac:dyDescent="0.25">
      <c r="B65" s="47">
        <v>61</v>
      </c>
      <c r="C65" s="47" t="s">
        <v>59</v>
      </c>
      <c r="D65" s="48">
        <v>23495</v>
      </c>
      <c r="E65" s="47">
        <v>8</v>
      </c>
      <c r="F65" s="47">
        <v>1</v>
      </c>
      <c r="G65" s="49">
        <v>22500</v>
      </c>
      <c r="H65" s="49">
        <v>9750</v>
      </c>
      <c r="I65" s="47">
        <v>94</v>
      </c>
      <c r="J65" s="47">
        <v>36</v>
      </c>
      <c r="K65" s="47">
        <v>1</v>
      </c>
    </row>
    <row r="66" spans="2:11" x14ac:dyDescent="0.25">
      <c r="B66" s="47">
        <v>62</v>
      </c>
      <c r="C66" s="47" t="s">
        <v>59</v>
      </c>
      <c r="D66" s="48">
        <v>22845</v>
      </c>
      <c r="E66" s="47">
        <v>16</v>
      </c>
      <c r="F66" s="47">
        <v>3</v>
      </c>
      <c r="G66" s="49">
        <v>48000</v>
      </c>
      <c r="H66" s="49">
        <v>21750</v>
      </c>
      <c r="I66" s="47">
        <v>93</v>
      </c>
      <c r="J66" s="47">
        <v>22</v>
      </c>
      <c r="K66" s="47">
        <v>0</v>
      </c>
    </row>
    <row r="67" spans="2:11" x14ac:dyDescent="0.25">
      <c r="B67" s="47">
        <v>63</v>
      </c>
      <c r="C67" s="47" t="s">
        <v>59</v>
      </c>
      <c r="D67" s="48">
        <v>22513</v>
      </c>
      <c r="E67" s="47">
        <v>17</v>
      </c>
      <c r="F67" s="47">
        <v>3</v>
      </c>
      <c r="G67" s="49">
        <v>55000</v>
      </c>
      <c r="H67" s="49">
        <v>26250</v>
      </c>
      <c r="I67" s="47">
        <v>93</v>
      </c>
      <c r="J67" s="47">
        <v>32</v>
      </c>
      <c r="K67" s="47">
        <v>0</v>
      </c>
    </row>
    <row r="68" spans="2:11" x14ac:dyDescent="0.25">
      <c r="B68" s="47">
        <v>64</v>
      </c>
      <c r="C68" s="47" t="s">
        <v>59</v>
      </c>
      <c r="D68" s="48">
        <v>23282</v>
      </c>
      <c r="E68" s="47">
        <v>16</v>
      </c>
      <c r="F68" s="47">
        <v>3</v>
      </c>
      <c r="G68" s="49">
        <v>53125</v>
      </c>
      <c r="H68" s="49">
        <v>21000</v>
      </c>
      <c r="I68" s="47">
        <v>93</v>
      </c>
      <c r="J68" s="47">
        <v>48</v>
      </c>
      <c r="K68" s="47">
        <v>0</v>
      </c>
    </row>
    <row r="69" spans="2:11" x14ac:dyDescent="0.25">
      <c r="B69" s="47">
        <v>65</v>
      </c>
      <c r="C69" s="47" t="s">
        <v>59</v>
      </c>
      <c r="D69" s="48">
        <v>23464</v>
      </c>
      <c r="E69" s="47">
        <v>8</v>
      </c>
      <c r="F69" s="47">
        <v>1</v>
      </c>
      <c r="G69" s="49">
        <v>21900</v>
      </c>
      <c r="H69" s="49">
        <v>14550</v>
      </c>
      <c r="I69" s="47">
        <v>93</v>
      </c>
      <c r="J69" s="47">
        <v>41</v>
      </c>
      <c r="K69" s="47">
        <v>0</v>
      </c>
    </row>
    <row r="70" spans="2:11" x14ac:dyDescent="0.25">
      <c r="B70" s="47">
        <v>34</v>
      </c>
      <c r="C70" s="47" t="s">
        <v>59</v>
      </c>
      <c r="D70" s="48">
        <v>17931</v>
      </c>
      <c r="E70" s="47">
        <v>19</v>
      </c>
      <c r="F70" s="47">
        <v>3</v>
      </c>
      <c r="G70" s="49">
        <v>92000</v>
      </c>
      <c r="H70" s="49">
        <v>39990</v>
      </c>
      <c r="I70" s="47">
        <v>96</v>
      </c>
      <c r="J70" s="47">
        <v>175</v>
      </c>
      <c r="K70" s="47">
        <v>0</v>
      </c>
    </row>
    <row r="71" spans="2:11" x14ac:dyDescent="0.25">
      <c r="B71" s="47">
        <v>67</v>
      </c>
      <c r="C71" s="47" t="s">
        <v>59</v>
      </c>
      <c r="D71" s="48">
        <v>23525</v>
      </c>
      <c r="E71" s="47">
        <v>16</v>
      </c>
      <c r="F71" s="47">
        <v>3</v>
      </c>
      <c r="G71" s="49">
        <v>46000</v>
      </c>
      <c r="H71" s="49">
        <v>21240</v>
      </c>
      <c r="I71" s="47">
        <v>93</v>
      </c>
      <c r="J71" s="47">
        <v>35</v>
      </c>
      <c r="K71" s="47">
        <v>0</v>
      </c>
    </row>
    <row r="72" spans="2:11" x14ac:dyDescent="0.25">
      <c r="B72" s="47">
        <v>68</v>
      </c>
      <c r="C72" s="47" t="s">
        <v>59</v>
      </c>
      <c r="D72" s="48">
        <v>23136</v>
      </c>
      <c r="E72" s="47">
        <v>16</v>
      </c>
      <c r="F72" s="47">
        <v>3</v>
      </c>
      <c r="G72" s="49">
        <v>45250</v>
      </c>
      <c r="H72" s="49">
        <v>21480</v>
      </c>
      <c r="I72" s="47">
        <v>93</v>
      </c>
      <c r="J72" s="47">
        <v>36</v>
      </c>
      <c r="K72" s="47">
        <v>0</v>
      </c>
    </row>
    <row r="73" spans="2:11" x14ac:dyDescent="0.25">
      <c r="B73" s="47">
        <v>69</v>
      </c>
      <c r="C73" s="47" t="s">
        <v>59</v>
      </c>
      <c r="D73" s="48">
        <v>22090</v>
      </c>
      <c r="E73" s="47">
        <v>16</v>
      </c>
      <c r="F73" s="47">
        <v>3</v>
      </c>
      <c r="G73" s="49">
        <v>56550</v>
      </c>
      <c r="H73" s="49">
        <v>25000</v>
      </c>
      <c r="I73" s="47">
        <v>93</v>
      </c>
      <c r="J73" s="47">
        <v>34</v>
      </c>
      <c r="K73" s="47">
        <v>0</v>
      </c>
    </row>
    <row r="74" spans="2:11" x14ac:dyDescent="0.25">
      <c r="B74" s="47">
        <v>70</v>
      </c>
      <c r="C74" s="47" t="s">
        <v>59</v>
      </c>
      <c r="D74" s="48">
        <v>22685</v>
      </c>
      <c r="E74" s="47">
        <v>15</v>
      </c>
      <c r="F74" s="47">
        <v>1</v>
      </c>
      <c r="G74" s="49">
        <v>41100</v>
      </c>
      <c r="H74" s="49">
        <v>20250</v>
      </c>
      <c r="I74" s="47">
        <v>93</v>
      </c>
      <c r="J74" s="47">
        <v>27</v>
      </c>
      <c r="K74" s="47">
        <v>0</v>
      </c>
    </row>
    <row r="75" spans="2:11" x14ac:dyDescent="0.25">
      <c r="B75" s="47">
        <v>106</v>
      </c>
      <c r="C75" s="47" t="s">
        <v>59</v>
      </c>
      <c r="D75" s="48">
        <v>22862</v>
      </c>
      <c r="E75" s="47">
        <v>19</v>
      </c>
      <c r="F75" s="47">
        <v>3</v>
      </c>
      <c r="G75" s="49">
        <v>91250</v>
      </c>
      <c r="H75" s="49">
        <v>29490</v>
      </c>
      <c r="I75" s="47">
        <v>91</v>
      </c>
      <c r="J75" s="47">
        <v>23</v>
      </c>
      <c r="K75" s="47">
        <v>0</v>
      </c>
    </row>
    <row r="76" spans="2:11" x14ac:dyDescent="0.25">
      <c r="B76" s="47">
        <v>72</v>
      </c>
      <c r="C76" s="47" t="s">
        <v>60</v>
      </c>
      <c r="D76" s="48">
        <v>23383</v>
      </c>
      <c r="E76" s="47">
        <v>16</v>
      </c>
      <c r="F76" s="47">
        <v>1</v>
      </c>
      <c r="G76" s="49">
        <v>54000</v>
      </c>
      <c r="H76" s="49">
        <v>18000</v>
      </c>
      <c r="I76" s="47">
        <v>93</v>
      </c>
      <c r="J76" s="47">
        <v>11</v>
      </c>
      <c r="K76" s="47">
        <v>0</v>
      </c>
    </row>
    <row r="77" spans="2:11" x14ac:dyDescent="0.25">
      <c r="B77" s="47">
        <v>73</v>
      </c>
      <c r="C77" s="47" t="s">
        <v>60</v>
      </c>
      <c r="D77" s="48">
        <v>24877</v>
      </c>
      <c r="E77" s="47">
        <v>12</v>
      </c>
      <c r="F77" s="47">
        <v>1</v>
      </c>
      <c r="G77" s="49">
        <v>26400</v>
      </c>
      <c r="H77" s="49">
        <v>10500</v>
      </c>
      <c r="I77" s="47">
        <v>93</v>
      </c>
      <c r="J77" s="47">
        <v>0</v>
      </c>
      <c r="K77" s="47">
        <v>0</v>
      </c>
    </row>
    <row r="78" spans="2:11" x14ac:dyDescent="0.25">
      <c r="B78" s="47">
        <v>74</v>
      </c>
      <c r="C78" s="47" t="s">
        <v>60</v>
      </c>
      <c r="D78" s="48">
        <v>12172</v>
      </c>
      <c r="E78" s="47">
        <v>15</v>
      </c>
      <c r="F78" s="47">
        <v>1</v>
      </c>
      <c r="G78" s="49">
        <v>33900</v>
      </c>
      <c r="H78" s="49">
        <v>19500</v>
      </c>
      <c r="I78" s="47">
        <v>93</v>
      </c>
      <c r="J78" s="47">
        <v>192</v>
      </c>
      <c r="K78" s="47">
        <v>0</v>
      </c>
    </row>
    <row r="79" spans="2:11" x14ac:dyDescent="0.25">
      <c r="B79" s="47">
        <v>75</v>
      </c>
      <c r="C79" s="47" t="s">
        <v>60</v>
      </c>
      <c r="D79" s="48">
        <v>23966</v>
      </c>
      <c r="E79" s="47">
        <v>15</v>
      </c>
      <c r="F79" s="47">
        <v>1</v>
      </c>
      <c r="G79" s="49">
        <v>24150</v>
      </c>
      <c r="H79" s="49">
        <v>11550</v>
      </c>
      <c r="I79" s="47">
        <v>93</v>
      </c>
      <c r="J79" s="47">
        <v>0</v>
      </c>
      <c r="K79" s="47">
        <v>0</v>
      </c>
    </row>
    <row r="80" spans="2:11" x14ac:dyDescent="0.25">
      <c r="B80" s="47">
        <v>76</v>
      </c>
      <c r="C80" s="47" t="s">
        <v>60</v>
      </c>
      <c r="D80" s="48">
        <v>24718</v>
      </c>
      <c r="E80" s="47">
        <v>15</v>
      </c>
      <c r="F80" s="47">
        <v>1</v>
      </c>
      <c r="G80" s="49">
        <v>29250</v>
      </c>
      <c r="H80" s="49">
        <v>11550</v>
      </c>
      <c r="I80" s="47">
        <v>93</v>
      </c>
      <c r="J80" s="47">
        <v>11</v>
      </c>
      <c r="K80" s="47">
        <v>0</v>
      </c>
    </row>
    <row r="81" spans="2:11" x14ac:dyDescent="0.25">
      <c r="B81" s="47">
        <v>77</v>
      </c>
      <c r="C81" s="47" t="s">
        <v>60</v>
      </c>
      <c r="D81" s="48">
        <v>25090</v>
      </c>
      <c r="E81" s="47">
        <v>12</v>
      </c>
      <c r="F81" s="47">
        <v>1</v>
      </c>
      <c r="G81" s="49">
        <v>27600</v>
      </c>
      <c r="H81" s="49">
        <v>11400</v>
      </c>
      <c r="I81" s="47">
        <v>93</v>
      </c>
      <c r="J81" s="47">
        <v>6</v>
      </c>
      <c r="K81" s="47">
        <v>0</v>
      </c>
    </row>
    <row r="82" spans="2:11" x14ac:dyDescent="0.25">
      <c r="B82" s="47">
        <v>78</v>
      </c>
      <c r="C82" s="47" t="s">
        <v>60</v>
      </c>
      <c r="D82" s="48">
        <v>25070</v>
      </c>
      <c r="E82" s="47">
        <v>12</v>
      </c>
      <c r="F82" s="47">
        <v>1</v>
      </c>
      <c r="G82" s="49">
        <v>22950</v>
      </c>
      <c r="H82" s="49">
        <v>10500</v>
      </c>
      <c r="I82" s="47">
        <v>93</v>
      </c>
      <c r="J82" s="47">
        <v>10</v>
      </c>
      <c r="K82" s="47">
        <v>0</v>
      </c>
    </row>
    <row r="83" spans="2:11" x14ac:dyDescent="0.25">
      <c r="B83" s="47">
        <v>79</v>
      </c>
      <c r="C83" s="47" t="s">
        <v>60</v>
      </c>
      <c r="D83" s="48">
        <v>22669</v>
      </c>
      <c r="E83" s="47">
        <v>16</v>
      </c>
      <c r="F83" s="47">
        <v>1</v>
      </c>
      <c r="G83" s="49">
        <v>34800</v>
      </c>
      <c r="H83" s="49">
        <v>14550</v>
      </c>
      <c r="I83" s="47">
        <v>93</v>
      </c>
      <c r="J83" s="47">
        <v>8</v>
      </c>
      <c r="K83" s="47">
        <v>0</v>
      </c>
    </row>
    <row r="84" spans="2:11" x14ac:dyDescent="0.25">
      <c r="B84" s="47">
        <v>80</v>
      </c>
      <c r="C84" s="47" t="s">
        <v>60</v>
      </c>
      <c r="D84" s="48">
        <v>22426</v>
      </c>
      <c r="E84" s="47">
        <v>16</v>
      </c>
      <c r="F84" s="47">
        <v>1</v>
      </c>
      <c r="G84" s="49">
        <v>51000</v>
      </c>
      <c r="H84" s="49">
        <v>18000</v>
      </c>
      <c r="I84" s="47">
        <v>93</v>
      </c>
      <c r="J84" s="47">
        <v>22</v>
      </c>
      <c r="K84" s="47">
        <v>0</v>
      </c>
    </row>
    <row r="85" spans="2:11" x14ac:dyDescent="0.25">
      <c r="B85" s="47">
        <v>81</v>
      </c>
      <c r="C85" s="47" t="s">
        <v>60</v>
      </c>
      <c r="D85" s="48">
        <v>24909</v>
      </c>
      <c r="E85" s="47">
        <v>12</v>
      </c>
      <c r="F85" s="47">
        <v>1</v>
      </c>
      <c r="G85" s="49">
        <v>24300</v>
      </c>
      <c r="H85" s="49">
        <v>10950</v>
      </c>
      <c r="I85" s="47">
        <v>93</v>
      </c>
      <c r="J85" s="47">
        <v>5</v>
      </c>
      <c r="K85" s="47">
        <v>0</v>
      </c>
    </row>
    <row r="86" spans="2:11" x14ac:dyDescent="0.25">
      <c r="B86" s="47">
        <v>82</v>
      </c>
      <c r="C86" s="47" t="s">
        <v>60</v>
      </c>
      <c r="D86" s="48">
        <v>17407</v>
      </c>
      <c r="E86" s="47">
        <v>12</v>
      </c>
      <c r="F86" s="47">
        <v>1</v>
      </c>
      <c r="G86" s="49">
        <v>24750</v>
      </c>
      <c r="H86" s="49">
        <v>14250</v>
      </c>
      <c r="I86" s="47">
        <v>93</v>
      </c>
      <c r="J86" s="47">
        <v>193</v>
      </c>
      <c r="K86" s="47">
        <v>1</v>
      </c>
    </row>
    <row r="87" spans="2:11" x14ac:dyDescent="0.25">
      <c r="B87" s="47">
        <v>83</v>
      </c>
      <c r="C87" s="47" t="s">
        <v>60</v>
      </c>
      <c r="D87" s="48">
        <v>24757</v>
      </c>
      <c r="E87" s="47">
        <v>12</v>
      </c>
      <c r="F87" s="47">
        <v>1</v>
      </c>
      <c r="G87" s="49">
        <v>22950</v>
      </c>
      <c r="H87" s="49">
        <v>11250</v>
      </c>
      <c r="I87" s="47">
        <v>93</v>
      </c>
      <c r="J87" s="47">
        <v>0</v>
      </c>
      <c r="K87" s="47">
        <v>1</v>
      </c>
    </row>
    <row r="88" spans="2:11" x14ac:dyDescent="0.25">
      <c r="B88" s="47">
        <v>84</v>
      </c>
      <c r="C88" s="47" t="s">
        <v>60</v>
      </c>
      <c r="D88" s="48">
        <v>24543</v>
      </c>
      <c r="E88" s="47">
        <v>8</v>
      </c>
      <c r="F88" s="47">
        <v>1</v>
      </c>
      <c r="G88" s="49">
        <v>25050</v>
      </c>
      <c r="H88" s="49">
        <v>10950</v>
      </c>
      <c r="I88" s="47">
        <v>93</v>
      </c>
      <c r="J88" s="47">
        <v>8</v>
      </c>
      <c r="K88" s="47">
        <v>1</v>
      </c>
    </row>
    <row r="89" spans="2:11" x14ac:dyDescent="0.25">
      <c r="B89" s="47">
        <v>85</v>
      </c>
      <c r="C89" s="47" t="s">
        <v>59</v>
      </c>
      <c r="D89" s="48">
        <v>22745</v>
      </c>
      <c r="E89" s="47">
        <v>15</v>
      </c>
      <c r="F89" s="47">
        <v>1</v>
      </c>
      <c r="G89" s="49">
        <v>25950</v>
      </c>
      <c r="H89" s="49">
        <v>17100</v>
      </c>
      <c r="I89" s="47">
        <v>92</v>
      </c>
      <c r="J89" s="47">
        <v>42</v>
      </c>
      <c r="K89" s="47">
        <v>0</v>
      </c>
    </row>
    <row r="90" spans="2:11" x14ac:dyDescent="0.25">
      <c r="B90" s="47">
        <v>86</v>
      </c>
      <c r="C90" s="47" t="s">
        <v>59</v>
      </c>
      <c r="D90" s="48">
        <v>22518</v>
      </c>
      <c r="E90" s="47">
        <v>15</v>
      </c>
      <c r="F90" s="47">
        <v>1</v>
      </c>
      <c r="G90" s="49">
        <v>31650</v>
      </c>
      <c r="H90" s="49">
        <v>15750</v>
      </c>
      <c r="I90" s="47">
        <v>92</v>
      </c>
      <c r="J90" s="47">
        <v>64</v>
      </c>
      <c r="K90" s="47">
        <v>0</v>
      </c>
    </row>
    <row r="91" spans="2:11" x14ac:dyDescent="0.25">
      <c r="B91" s="47">
        <v>87</v>
      </c>
      <c r="C91" s="47" t="s">
        <v>59</v>
      </c>
      <c r="D91" s="48">
        <v>21843</v>
      </c>
      <c r="E91" s="47">
        <v>12</v>
      </c>
      <c r="F91" s="47">
        <v>1</v>
      </c>
      <c r="G91" s="49">
        <v>24150</v>
      </c>
      <c r="H91" s="49">
        <v>14100</v>
      </c>
      <c r="I91" s="47">
        <v>92</v>
      </c>
      <c r="J91" s="47">
        <v>130</v>
      </c>
      <c r="K91" s="47">
        <v>0</v>
      </c>
    </row>
    <row r="92" spans="2:11" x14ac:dyDescent="0.25">
      <c r="B92" s="47">
        <v>454</v>
      </c>
      <c r="C92" s="47" t="s">
        <v>59</v>
      </c>
      <c r="D92" s="48">
        <v>23951</v>
      </c>
      <c r="E92" s="47">
        <v>19</v>
      </c>
      <c r="F92" s="47">
        <v>3</v>
      </c>
      <c r="G92" s="49">
        <v>90625</v>
      </c>
      <c r="H92" s="49">
        <v>31250</v>
      </c>
      <c r="I92" s="47">
        <v>65</v>
      </c>
      <c r="J92" s="47">
        <v>18</v>
      </c>
      <c r="K92" s="47">
        <v>0</v>
      </c>
    </row>
    <row r="93" spans="2:11" x14ac:dyDescent="0.25">
      <c r="B93" s="47">
        <v>89</v>
      </c>
      <c r="C93" s="47" t="s">
        <v>59</v>
      </c>
      <c r="D93" s="48">
        <v>22456</v>
      </c>
      <c r="E93" s="47">
        <v>19</v>
      </c>
      <c r="F93" s="47">
        <v>3</v>
      </c>
      <c r="G93" s="49">
        <v>68750</v>
      </c>
      <c r="H93" s="49">
        <v>27480</v>
      </c>
      <c r="I93" s="47">
        <v>92</v>
      </c>
      <c r="J93" s="47">
        <v>8</v>
      </c>
      <c r="K93" s="47">
        <v>0</v>
      </c>
    </row>
    <row r="94" spans="2:11" x14ac:dyDescent="0.25">
      <c r="B94" s="47">
        <v>90</v>
      </c>
      <c r="C94" s="47" t="s">
        <v>60</v>
      </c>
      <c r="D94" s="48">
        <v>13938</v>
      </c>
      <c r="E94" s="47">
        <v>8</v>
      </c>
      <c r="F94" s="47">
        <v>1</v>
      </c>
      <c r="G94" s="49">
        <v>16200</v>
      </c>
      <c r="H94" s="49">
        <v>9750</v>
      </c>
      <c r="I94" s="47">
        <v>92</v>
      </c>
      <c r="J94" s="47">
        <v>0</v>
      </c>
      <c r="K94" s="47">
        <v>0</v>
      </c>
    </row>
    <row r="95" spans="2:11" x14ac:dyDescent="0.25">
      <c r="B95" s="47">
        <v>91</v>
      </c>
      <c r="C95" s="47" t="s">
        <v>60</v>
      </c>
      <c r="D95" s="48">
        <v>24780</v>
      </c>
      <c r="E95" s="47">
        <v>12</v>
      </c>
      <c r="F95" s="47">
        <v>1</v>
      </c>
      <c r="G95" s="49">
        <v>20100</v>
      </c>
      <c r="H95" s="49">
        <v>11250</v>
      </c>
      <c r="I95" s="47">
        <v>92</v>
      </c>
      <c r="J95" s="47">
        <v>24</v>
      </c>
      <c r="K95" s="47">
        <v>0</v>
      </c>
    </row>
    <row r="96" spans="2:11" x14ac:dyDescent="0.25">
      <c r="B96" s="47">
        <v>92</v>
      </c>
      <c r="C96" s="47" t="s">
        <v>60</v>
      </c>
      <c r="D96" s="48">
        <v>25014</v>
      </c>
      <c r="E96" s="47">
        <v>8</v>
      </c>
      <c r="F96" s="47">
        <v>1</v>
      </c>
      <c r="G96" s="49">
        <v>24000</v>
      </c>
      <c r="H96" s="49">
        <v>10950</v>
      </c>
      <c r="I96" s="47">
        <v>92</v>
      </c>
      <c r="J96" s="47">
        <v>6</v>
      </c>
      <c r="K96" s="47">
        <v>0</v>
      </c>
    </row>
    <row r="97" spans="2:11" x14ac:dyDescent="0.25">
      <c r="B97" s="47">
        <v>93</v>
      </c>
      <c r="C97" s="47" t="s">
        <v>60</v>
      </c>
      <c r="D97" s="48">
        <v>24902</v>
      </c>
      <c r="E97" s="47">
        <v>12</v>
      </c>
      <c r="F97" s="47">
        <v>1</v>
      </c>
      <c r="G97" s="49">
        <v>25950</v>
      </c>
      <c r="H97" s="49">
        <v>10950</v>
      </c>
      <c r="I97" s="47">
        <v>92</v>
      </c>
      <c r="J97" s="47">
        <v>0</v>
      </c>
      <c r="K97" s="47">
        <v>0</v>
      </c>
    </row>
    <row r="98" spans="2:11" x14ac:dyDescent="0.25">
      <c r="B98" s="47">
        <v>94</v>
      </c>
      <c r="C98" s="47" t="s">
        <v>60</v>
      </c>
      <c r="D98" s="48">
        <v>18479</v>
      </c>
      <c r="E98" s="47">
        <v>12</v>
      </c>
      <c r="F98" s="47">
        <v>1</v>
      </c>
      <c r="G98" s="49">
        <v>24600</v>
      </c>
      <c r="H98" s="49">
        <v>10050</v>
      </c>
      <c r="I98" s="47">
        <v>92</v>
      </c>
      <c r="J98" s="47">
        <v>44</v>
      </c>
      <c r="K98" s="47">
        <v>0</v>
      </c>
    </row>
    <row r="99" spans="2:11" x14ac:dyDescent="0.25">
      <c r="B99" s="47">
        <v>95</v>
      </c>
      <c r="C99" s="47" t="s">
        <v>60</v>
      </c>
      <c r="D99" s="48">
        <v>25058</v>
      </c>
      <c r="E99" s="47">
        <v>12</v>
      </c>
      <c r="F99" s="47">
        <v>1</v>
      </c>
      <c r="G99" s="49">
        <v>28500</v>
      </c>
      <c r="H99" s="49">
        <v>10500</v>
      </c>
      <c r="I99" s="47">
        <v>92</v>
      </c>
      <c r="J99" s="47">
        <v>6</v>
      </c>
      <c r="K99" s="47">
        <v>0</v>
      </c>
    </row>
    <row r="100" spans="2:11" x14ac:dyDescent="0.25">
      <c r="B100" s="47">
        <v>96</v>
      </c>
      <c r="C100" s="47" t="s">
        <v>59</v>
      </c>
      <c r="D100" s="48">
        <v>12329</v>
      </c>
      <c r="E100" s="47">
        <v>8</v>
      </c>
      <c r="F100" s="47">
        <v>2</v>
      </c>
      <c r="G100" s="49">
        <v>30750</v>
      </c>
      <c r="H100" s="49">
        <v>15000</v>
      </c>
      <c r="I100" s="47">
        <v>92</v>
      </c>
      <c r="J100" s="47">
        <v>432</v>
      </c>
      <c r="K100" s="47">
        <v>1</v>
      </c>
    </row>
    <row r="101" spans="2:11" x14ac:dyDescent="0.25">
      <c r="B101" s="47">
        <v>97</v>
      </c>
      <c r="C101" s="47" t="s">
        <v>59</v>
      </c>
      <c r="D101" s="48">
        <v>19377</v>
      </c>
      <c r="E101" s="47">
        <v>17</v>
      </c>
      <c r="F101" s="47">
        <v>1</v>
      </c>
      <c r="G101" s="49">
        <v>40200</v>
      </c>
      <c r="H101" s="49">
        <v>19500</v>
      </c>
      <c r="I101" s="47">
        <v>92</v>
      </c>
      <c r="J101" s="47">
        <v>168</v>
      </c>
      <c r="K101" s="47">
        <v>1</v>
      </c>
    </row>
    <row r="102" spans="2:11" x14ac:dyDescent="0.25">
      <c r="B102" s="47">
        <v>98</v>
      </c>
      <c r="C102" s="47" t="s">
        <v>59</v>
      </c>
      <c r="D102" s="48">
        <v>20592</v>
      </c>
      <c r="E102" s="47">
        <v>8</v>
      </c>
      <c r="F102" s="47">
        <v>2</v>
      </c>
      <c r="G102" s="49">
        <v>30000</v>
      </c>
      <c r="H102" s="49">
        <v>15000</v>
      </c>
      <c r="I102" s="47">
        <v>92</v>
      </c>
      <c r="J102" s="47">
        <v>144</v>
      </c>
      <c r="K102" s="47">
        <v>1</v>
      </c>
    </row>
    <row r="103" spans="2:11" x14ac:dyDescent="0.25">
      <c r="B103" s="47">
        <v>99</v>
      </c>
      <c r="C103" s="47" t="s">
        <v>60</v>
      </c>
      <c r="D103" s="48">
        <v>25026</v>
      </c>
      <c r="E103" s="47">
        <v>12</v>
      </c>
      <c r="F103" s="47">
        <v>1</v>
      </c>
      <c r="G103" s="49">
        <v>22050</v>
      </c>
      <c r="H103" s="49">
        <v>10950</v>
      </c>
      <c r="I103" s="47">
        <v>92</v>
      </c>
      <c r="J103" s="47">
        <v>5</v>
      </c>
      <c r="K103" s="47">
        <v>1</v>
      </c>
    </row>
    <row r="104" spans="2:11" x14ac:dyDescent="0.25">
      <c r="B104" s="47">
        <v>431</v>
      </c>
      <c r="C104" s="47" t="s">
        <v>59</v>
      </c>
      <c r="D104" s="48">
        <v>21565</v>
      </c>
      <c r="E104" s="47">
        <v>18</v>
      </c>
      <c r="F104" s="47">
        <v>3</v>
      </c>
      <c r="G104" s="49">
        <v>86250</v>
      </c>
      <c r="H104" s="49">
        <v>45000</v>
      </c>
      <c r="I104" s="47">
        <v>66</v>
      </c>
      <c r="J104" s="47">
        <v>50</v>
      </c>
      <c r="K104" s="47">
        <v>0</v>
      </c>
    </row>
    <row r="105" spans="2:11" x14ac:dyDescent="0.25">
      <c r="B105" s="47">
        <v>101</v>
      </c>
      <c r="C105" s="47" t="s">
        <v>59</v>
      </c>
      <c r="D105" s="48">
        <v>21989</v>
      </c>
      <c r="E105" s="47">
        <v>16</v>
      </c>
      <c r="F105" s="47">
        <v>3</v>
      </c>
      <c r="G105" s="49">
        <v>60625</v>
      </c>
      <c r="H105" s="49">
        <v>22500</v>
      </c>
      <c r="I105" s="47">
        <v>91</v>
      </c>
      <c r="J105" s="47">
        <v>44</v>
      </c>
      <c r="K105" s="47">
        <v>0</v>
      </c>
    </row>
    <row r="106" spans="2:11" x14ac:dyDescent="0.25">
      <c r="B106" s="47">
        <v>102</v>
      </c>
      <c r="C106" s="47" t="s">
        <v>59</v>
      </c>
      <c r="D106" s="48">
        <v>23098</v>
      </c>
      <c r="E106" s="47">
        <v>14</v>
      </c>
      <c r="F106" s="47">
        <v>1</v>
      </c>
      <c r="G106" s="49">
        <v>39900</v>
      </c>
      <c r="H106" s="49">
        <v>15750</v>
      </c>
      <c r="I106" s="47">
        <v>91</v>
      </c>
      <c r="J106" s="47">
        <v>59</v>
      </c>
      <c r="K106" s="47">
        <v>0</v>
      </c>
    </row>
    <row r="107" spans="2:11" x14ac:dyDescent="0.25">
      <c r="B107" s="47">
        <v>274</v>
      </c>
      <c r="C107" s="47" t="s">
        <v>59</v>
      </c>
      <c r="D107" s="48">
        <v>23593</v>
      </c>
      <c r="E107" s="47">
        <v>16</v>
      </c>
      <c r="F107" s="47">
        <v>3</v>
      </c>
      <c r="G107" s="49">
        <v>83750</v>
      </c>
      <c r="H107" s="49">
        <v>21750</v>
      </c>
      <c r="I107" s="47">
        <v>79</v>
      </c>
      <c r="J107" s="47">
        <v>12</v>
      </c>
      <c r="K107" s="47">
        <v>0</v>
      </c>
    </row>
    <row r="108" spans="2:11" x14ac:dyDescent="0.25">
      <c r="B108" s="47">
        <v>104</v>
      </c>
      <c r="C108" s="47" t="s">
        <v>59</v>
      </c>
      <c r="D108" s="48">
        <v>22955</v>
      </c>
      <c r="E108" s="47">
        <v>15</v>
      </c>
      <c r="F108" s="47">
        <v>1</v>
      </c>
      <c r="G108" s="49">
        <v>27450</v>
      </c>
      <c r="H108" s="49">
        <v>15750</v>
      </c>
      <c r="I108" s="47">
        <v>91</v>
      </c>
      <c r="J108" s="47">
        <v>48</v>
      </c>
      <c r="K108" s="47">
        <v>0</v>
      </c>
    </row>
    <row r="109" spans="2:11" x14ac:dyDescent="0.25">
      <c r="B109" s="47">
        <v>105</v>
      </c>
      <c r="C109" s="47" t="s">
        <v>59</v>
      </c>
      <c r="D109" s="48">
        <v>24173</v>
      </c>
      <c r="E109" s="47">
        <v>15</v>
      </c>
      <c r="F109" s="47">
        <v>1</v>
      </c>
      <c r="G109" s="49">
        <v>31650</v>
      </c>
      <c r="H109" s="49">
        <v>13500</v>
      </c>
      <c r="I109" s="47">
        <v>91</v>
      </c>
      <c r="J109" s="47">
        <v>18</v>
      </c>
      <c r="K109" s="47">
        <v>0</v>
      </c>
    </row>
    <row r="110" spans="2:11" x14ac:dyDescent="0.25">
      <c r="B110" s="47">
        <v>71</v>
      </c>
      <c r="C110" s="47" t="s">
        <v>59</v>
      </c>
      <c r="D110" s="48">
        <v>17771</v>
      </c>
      <c r="E110" s="47">
        <v>17</v>
      </c>
      <c r="F110" s="47">
        <v>3</v>
      </c>
      <c r="G110" s="49">
        <v>82500</v>
      </c>
      <c r="H110" s="49">
        <v>34980</v>
      </c>
      <c r="I110" s="47">
        <v>93</v>
      </c>
      <c r="J110" s="47">
        <v>207</v>
      </c>
      <c r="K110" s="47">
        <v>0</v>
      </c>
    </row>
    <row r="111" spans="2:11" x14ac:dyDescent="0.25">
      <c r="B111" s="47">
        <v>107</v>
      </c>
      <c r="C111" s="47" t="s">
        <v>60</v>
      </c>
      <c r="D111" s="48">
        <v>22144</v>
      </c>
      <c r="E111" s="47">
        <v>12</v>
      </c>
      <c r="F111" s="47">
        <v>1</v>
      </c>
      <c r="G111" s="49">
        <v>25200</v>
      </c>
      <c r="H111" s="49">
        <v>14400</v>
      </c>
      <c r="I111" s="47">
        <v>91</v>
      </c>
      <c r="J111" s="47">
        <v>83</v>
      </c>
      <c r="K111" s="47">
        <v>0</v>
      </c>
    </row>
    <row r="112" spans="2:11" x14ac:dyDescent="0.25">
      <c r="B112" s="47">
        <v>108</v>
      </c>
      <c r="C112" s="47" t="s">
        <v>60</v>
      </c>
      <c r="D112" s="48">
        <v>11155</v>
      </c>
      <c r="E112" s="47">
        <v>12</v>
      </c>
      <c r="F112" s="47">
        <v>1</v>
      </c>
      <c r="G112" s="49">
        <v>21000</v>
      </c>
      <c r="H112" s="49">
        <v>11550</v>
      </c>
      <c r="I112" s="47">
        <v>91</v>
      </c>
      <c r="J112" s="47">
        <v>108</v>
      </c>
      <c r="K112" s="47">
        <v>0</v>
      </c>
    </row>
    <row r="113" spans="2:11" x14ac:dyDescent="0.25">
      <c r="B113" s="47">
        <v>109</v>
      </c>
      <c r="C113" s="47" t="s">
        <v>59</v>
      </c>
      <c r="D113" s="48">
        <v>23325</v>
      </c>
      <c r="E113" s="47">
        <v>12</v>
      </c>
      <c r="F113" s="47">
        <v>1</v>
      </c>
      <c r="G113" s="49">
        <v>30450</v>
      </c>
      <c r="H113" s="49">
        <v>15000</v>
      </c>
      <c r="I113" s="47">
        <v>91</v>
      </c>
      <c r="J113" s="47">
        <v>49</v>
      </c>
      <c r="K113" s="47">
        <v>1</v>
      </c>
    </row>
    <row r="114" spans="2:11" x14ac:dyDescent="0.25">
      <c r="B114" s="47">
        <v>110</v>
      </c>
      <c r="C114" s="47" t="s">
        <v>59</v>
      </c>
      <c r="D114" s="48">
        <v>19296</v>
      </c>
      <c r="E114" s="47">
        <v>15</v>
      </c>
      <c r="F114" s="47">
        <v>1</v>
      </c>
      <c r="G114" s="49">
        <v>28350</v>
      </c>
      <c r="H114" s="49">
        <v>18000</v>
      </c>
      <c r="I114" s="47">
        <v>91</v>
      </c>
      <c r="J114" s="47">
        <v>151</v>
      </c>
      <c r="K114" s="47">
        <v>1</v>
      </c>
    </row>
    <row r="115" spans="2:11" x14ac:dyDescent="0.25">
      <c r="B115" s="47">
        <v>111</v>
      </c>
      <c r="C115" s="47" t="s">
        <v>59</v>
      </c>
      <c r="D115" s="48">
        <v>14942</v>
      </c>
      <c r="E115" s="47">
        <v>12</v>
      </c>
      <c r="F115" s="47">
        <v>2</v>
      </c>
      <c r="G115" s="49">
        <v>30750</v>
      </c>
      <c r="H115" s="49">
        <v>9000</v>
      </c>
      <c r="I115" s="47">
        <v>91</v>
      </c>
      <c r="J115" s="47">
        <v>314</v>
      </c>
      <c r="K115" s="47">
        <v>1</v>
      </c>
    </row>
    <row r="116" spans="2:11" x14ac:dyDescent="0.25">
      <c r="B116" s="47">
        <v>112</v>
      </c>
      <c r="C116" s="47" t="s">
        <v>59</v>
      </c>
      <c r="D116" s="48">
        <v>17705</v>
      </c>
      <c r="E116" s="47">
        <v>12</v>
      </c>
      <c r="F116" s="47">
        <v>2</v>
      </c>
      <c r="G116" s="49">
        <v>30750</v>
      </c>
      <c r="H116" s="49">
        <v>15000</v>
      </c>
      <c r="I116" s="47">
        <v>91</v>
      </c>
      <c r="J116" s="47">
        <v>240</v>
      </c>
      <c r="K116" s="47">
        <v>1</v>
      </c>
    </row>
    <row r="117" spans="2:11" x14ac:dyDescent="0.25">
      <c r="B117" s="47">
        <v>113</v>
      </c>
      <c r="C117" s="47" t="s">
        <v>59</v>
      </c>
      <c r="D117" s="48">
        <v>21829</v>
      </c>
      <c r="E117" s="47">
        <v>16</v>
      </c>
      <c r="F117" s="47">
        <v>3</v>
      </c>
      <c r="G117" s="49">
        <v>54875</v>
      </c>
      <c r="H117" s="49">
        <v>27480</v>
      </c>
      <c r="I117" s="47">
        <v>90</v>
      </c>
      <c r="J117" s="47">
        <v>68</v>
      </c>
      <c r="K117" s="47">
        <v>0</v>
      </c>
    </row>
    <row r="118" spans="2:11" x14ac:dyDescent="0.25">
      <c r="B118" s="47">
        <v>114</v>
      </c>
      <c r="C118" s="47" t="s">
        <v>59</v>
      </c>
      <c r="D118" s="48">
        <v>22518</v>
      </c>
      <c r="E118" s="47">
        <v>14</v>
      </c>
      <c r="F118" s="47">
        <v>1</v>
      </c>
      <c r="G118" s="49">
        <v>37800</v>
      </c>
      <c r="H118" s="49">
        <v>16500</v>
      </c>
      <c r="I118" s="47">
        <v>90</v>
      </c>
      <c r="J118" s="47">
        <v>60</v>
      </c>
      <c r="K118" s="47">
        <v>0</v>
      </c>
    </row>
    <row r="119" spans="2:11" x14ac:dyDescent="0.25">
      <c r="B119" s="47">
        <v>115</v>
      </c>
      <c r="C119" s="47" t="s">
        <v>59</v>
      </c>
      <c r="D119" s="48">
        <v>22413</v>
      </c>
      <c r="E119" s="47">
        <v>15</v>
      </c>
      <c r="F119" s="47">
        <v>1</v>
      </c>
      <c r="G119" s="49">
        <v>33450</v>
      </c>
      <c r="H119" s="49">
        <v>14100</v>
      </c>
      <c r="I119" s="47">
        <v>90</v>
      </c>
      <c r="J119" s="47">
        <v>85</v>
      </c>
      <c r="K119" s="47">
        <v>0</v>
      </c>
    </row>
    <row r="120" spans="2:11" x14ac:dyDescent="0.25">
      <c r="B120" s="47">
        <v>116</v>
      </c>
      <c r="C120" s="47" t="s">
        <v>59</v>
      </c>
      <c r="D120" s="48">
        <v>22806</v>
      </c>
      <c r="E120" s="47">
        <v>15</v>
      </c>
      <c r="F120" s="47">
        <v>1</v>
      </c>
      <c r="G120" s="49">
        <v>30300</v>
      </c>
      <c r="H120" s="49">
        <v>16500</v>
      </c>
      <c r="I120" s="47">
        <v>90</v>
      </c>
      <c r="J120" s="47">
        <v>16</v>
      </c>
      <c r="K120" s="47">
        <v>0</v>
      </c>
    </row>
    <row r="121" spans="2:11" x14ac:dyDescent="0.25">
      <c r="B121" s="47">
        <v>117</v>
      </c>
      <c r="C121" s="47" t="s">
        <v>60</v>
      </c>
      <c r="D121" s="48">
        <v>11702</v>
      </c>
      <c r="E121" s="47">
        <v>12</v>
      </c>
      <c r="F121" s="47">
        <v>1</v>
      </c>
      <c r="G121" s="49">
        <v>31500</v>
      </c>
      <c r="H121" s="49">
        <v>18750</v>
      </c>
      <c r="I121" s="47">
        <v>90</v>
      </c>
      <c r="J121" s="47">
        <v>205</v>
      </c>
      <c r="K121" s="47">
        <v>0</v>
      </c>
    </row>
    <row r="122" spans="2:11" x14ac:dyDescent="0.25">
      <c r="B122" s="47">
        <v>118</v>
      </c>
      <c r="C122" s="47" t="s">
        <v>60</v>
      </c>
      <c r="D122" s="48">
        <v>23440</v>
      </c>
      <c r="E122" s="47">
        <v>12</v>
      </c>
      <c r="F122" s="47">
        <v>1</v>
      </c>
      <c r="G122" s="49">
        <v>31650</v>
      </c>
      <c r="H122" s="49">
        <v>14250</v>
      </c>
      <c r="I122" s="47">
        <v>90</v>
      </c>
      <c r="J122" s="47">
        <v>48</v>
      </c>
      <c r="K122" s="47">
        <v>0</v>
      </c>
    </row>
    <row r="123" spans="2:11" x14ac:dyDescent="0.25">
      <c r="B123" s="47">
        <v>119</v>
      </c>
      <c r="C123" s="47" t="s">
        <v>60</v>
      </c>
      <c r="D123" s="48">
        <v>23215</v>
      </c>
      <c r="E123" s="47">
        <v>12</v>
      </c>
      <c r="F123" s="47">
        <v>1</v>
      </c>
      <c r="G123" s="49">
        <v>25200</v>
      </c>
      <c r="H123" s="49">
        <v>14100</v>
      </c>
      <c r="I123" s="47">
        <v>90</v>
      </c>
      <c r="J123" s="47">
        <v>55</v>
      </c>
      <c r="K123" s="47">
        <v>0</v>
      </c>
    </row>
    <row r="124" spans="2:11" x14ac:dyDescent="0.25">
      <c r="B124" s="47">
        <v>120</v>
      </c>
      <c r="C124" s="47" t="s">
        <v>60</v>
      </c>
      <c r="D124" s="48">
        <v>23693</v>
      </c>
      <c r="E124" s="47">
        <v>16</v>
      </c>
      <c r="F124" s="47">
        <v>3</v>
      </c>
      <c r="G124" s="49">
        <v>37800</v>
      </c>
      <c r="H124" s="49">
        <v>15750</v>
      </c>
      <c r="I124" s="47">
        <v>90</v>
      </c>
      <c r="J124" s="47">
        <v>7</v>
      </c>
      <c r="K124" s="47">
        <v>0</v>
      </c>
    </row>
    <row r="125" spans="2:11" x14ac:dyDescent="0.25">
      <c r="B125" s="47">
        <v>121</v>
      </c>
      <c r="C125" s="47" t="s">
        <v>60</v>
      </c>
      <c r="D125" s="48">
        <v>13368</v>
      </c>
      <c r="E125" s="47">
        <v>15</v>
      </c>
      <c r="F125" s="47">
        <v>1</v>
      </c>
      <c r="G125" s="49">
        <v>18750</v>
      </c>
      <c r="H125" s="49">
        <v>10500</v>
      </c>
      <c r="I125" s="47">
        <v>90</v>
      </c>
      <c r="J125" s="47">
        <v>54</v>
      </c>
      <c r="K125" s="47">
        <v>0</v>
      </c>
    </row>
    <row r="126" spans="2:11" x14ac:dyDescent="0.25">
      <c r="B126" s="47">
        <v>122</v>
      </c>
      <c r="C126" s="47" t="s">
        <v>60</v>
      </c>
      <c r="D126" s="48">
        <v>24011</v>
      </c>
      <c r="E126" s="47">
        <v>15</v>
      </c>
      <c r="F126" s="47">
        <v>1</v>
      </c>
      <c r="G126" s="49">
        <v>32550</v>
      </c>
      <c r="H126" s="49">
        <v>13500</v>
      </c>
      <c r="I126" s="47">
        <v>90</v>
      </c>
      <c r="J126" s="47">
        <v>22</v>
      </c>
      <c r="K126" s="47">
        <v>0</v>
      </c>
    </row>
    <row r="127" spans="2:11" x14ac:dyDescent="0.25">
      <c r="B127" s="47">
        <v>123</v>
      </c>
      <c r="C127" s="47" t="s">
        <v>60</v>
      </c>
      <c r="D127" s="48">
        <v>18012</v>
      </c>
      <c r="E127" s="47">
        <v>12</v>
      </c>
      <c r="F127" s="47">
        <v>1</v>
      </c>
      <c r="G127" s="49">
        <v>33300</v>
      </c>
      <c r="H127" s="49">
        <v>15000</v>
      </c>
      <c r="I127" s="47">
        <v>90</v>
      </c>
      <c r="J127" s="47">
        <v>3</v>
      </c>
      <c r="K127" s="47">
        <v>0</v>
      </c>
    </row>
    <row r="128" spans="2:11" x14ac:dyDescent="0.25">
      <c r="B128" s="47">
        <v>124</v>
      </c>
      <c r="C128" s="47" t="s">
        <v>60</v>
      </c>
      <c r="D128" s="48">
        <v>23160</v>
      </c>
      <c r="E128" s="47">
        <v>16</v>
      </c>
      <c r="F128" s="47">
        <v>1</v>
      </c>
      <c r="G128" s="49">
        <v>38550</v>
      </c>
      <c r="H128" s="49">
        <v>16500</v>
      </c>
      <c r="I128" s="47">
        <v>90</v>
      </c>
      <c r="J128" s="47">
        <v>0</v>
      </c>
      <c r="K128" s="47">
        <v>0</v>
      </c>
    </row>
    <row r="129" spans="2:11" x14ac:dyDescent="0.25">
      <c r="B129" s="47">
        <v>125</v>
      </c>
      <c r="C129" s="47" t="s">
        <v>59</v>
      </c>
      <c r="D129" s="48">
        <v>20673</v>
      </c>
      <c r="E129" s="47">
        <v>12</v>
      </c>
      <c r="F129" s="47">
        <v>1</v>
      </c>
      <c r="G129" s="49">
        <v>27450</v>
      </c>
      <c r="H129" s="49">
        <v>15000</v>
      </c>
      <c r="I129" s="47">
        <v>90</v>
      </c>
      <c r="J129" s="47">
        <v>173</v>
      </c>
      <c r="K129" s="47">
        <v>1</v>
      </c>
    </row>
    <row r="130" spans="2:11" x14ac:dyDescent="0.25">
      <c r="B130" s="47">
        <v>126</v>
      </c>
      <c r="C130" s="47" t="s">
        <v>59</v>
      </c>
      <c r="D130" s="48">
        <v>18649</v>
      </c>
      <c r="E130" s="47">
        <v>15</v>
      </c>
      <c r="F130" s="47">
        <v>2</v>
      </c>
      <c r="G130" s="49">
        <v>24300</v>
      </c>
      <c r="H130" s="49">
        <v>15000</v>
      </c>
      <c r="I130" s="47">
        <v>90</v>
      </c>
      <c r="J130" s="47">
        <v>191</v>
      </c>
      <c r="K130" s="47">
        <v>1</v>
      </c>
    </row>
    <row r="131" spans="2:11" x14ac:dyDescent="0.25">
      <c r="B131" s="47">
        <v>127</v>
      </c>
      <c r="C131" s="47" t="s">
        <v>59</v>
      </c>
      <c r="D131" s="48">
        <v>18507</v>
      </c>
      <c r="E131" s="47">
        <v>12</v>
      </c>
      <c r="F131" s="47">
        <v>2</v>
      </c>
      <c r="G131" s="49">
        <v>30750</v>
      </c>
      <c r="H131" s="49">
        <v>15000</v>
      </c>
      <c r="I131" s="47">
        <v>90</v>
      </c>
      <c r="J131" s="47">
        <v>209</v>
      </c>
      <c r="K131" s="47">
        <v>1</v>
      </c>
    </row>
    <row r="132" spans="2:11" x14ac:dyDescent="0.25">
      <c r="B132" s="47">
        <v>128</v>
      </c>
      <c r="C132" s="47" t="s">
        <v>60</v>
      </c>
      <c r="D132" s="48">
        <v>17008</v>
      </c>
      <c r="E132" s="47">
        <v>12</v>
      </c>
      <c r="F132" s="47">
        <v>1</v>
      </c>
      <c r="G132" s="49">
        <v>19650</v>
      </c>
      <c r="H132" s="49">
        <v>9750</v>
      </c>
      <c r="I132" s="47">
        <v>90</v>
      </c>
      <c r="J132" s="47">
        <v>229</v>
      </c>
      <c r="K132" s="47">
        <v>1</v>
      </c>
    </row>
    <row r="133" spans="2:11" x14ac:dyDescent="0.25">
      <c r="B133" s="47">
        <v>129</v>
      </c>
      <c r="C133" s="47" t="s">
        <v>59</v>
      </c>
      <c r="D133" s="48">
        <v>21749</v>
      </c>
      <c r="E133" s="47">
        <v>17</v>
      </c>
      <c r="F133" s="47">
        <v>3</v>
      </c>
      <c r="G133" s="49">
        <v>68750</v>
      </c>
      <c r="H133" s="49">
        <v>27510</v>
      </c>
      <c r="I133" s="47">
        <v>89</v>
      </c>
      <c r="J133" s="47">
        <v>38</v>
      </c>
      <c r="K133" s="47">
        <v>0</v>
      </c>
    </row>
    <row r="134" spans="2:11" x14ac:dyDescent="0.25">
      <c r="B134" s="47">
        <v>130</v>
      </c>
      <c r="C134" s="47" t="s">
        <v>59</v>
      </c>
      <c r="D134" s="48">
        <v>21434</v>
      </c>
      <c r="E134" s="47">
        <v>20</v>
      </c>
      <c r="F134" s="47">
        <v>3</v>
      </c>
      <c r="G134" s="49">
        <v>59375</v>
      </c>
      <c r="H134" s="49">
        <v>30000</v>
      </c>
      <c r="I134" s="47">
        <v>89</v>
      </c>
      <c r="J134" s="47">
        <v>6</v>
      </c>
      <c r="K134" s="47">
        <v>0</v>
      </c>
    </row>
    <row r="135" spans="2:11" x14ac:dyDescent="0.25">
      <c r="B135" s="47">
        <v>131</v>
      </c>
      <c r="C135" s="47" t="s">
        <v>59</v>
      </c>
      <c r="D135" s="48">
        <v>22685</v>
      </c>
      <c r="E135" s="47">
        <v>15</v>
      </c>
      <c r="F135" s="47">
        <v>1</v>
      </c>
      <c r="G135" s="49">
        <v>31500</v>
      </c>
      <c r="H135" s="49">
        <v>15750</v>
      </c>
      <c r="I135" s="47">
        <v>89</v>
      </c>
      <c r="J135" s="47">
        <v>22</v>
      </c>
      <c r="K135" s="47">
        <v>0</v>
      </c>
    </row>
    <row r="136" spans="2:11" x14ac:dyDescent="0.25">
      <c r="B136" s="47">
        <v>132</v>
      </c>
      <c r="C136" s="47" t="s">
        <v>59</v>
      </c>
      <c r="D136" s="48">
        <v>19496</v>
      </c>
      <c r="E136" s="47">
        <v>12</v>
      </c>
      <c r="F136" s="47">
        <v>1</v>
      </c>
      <c r="G136" s="49">
        <v>27300</v>
      </c>
      <c r="H136" s="49">
        <v>17250</v>
      </c>
      <c r="I136" s="47">
        <v>89</v>
      </c>
      <c r="J136" s="47">
        <v>175</v>
      </c>
      <c r="K136" s="47">
        <v>0</v>
      </c>
    </row>
    <row r="137" spans="2:11" x14ac:dyDescent="0.25">
      <c r="B137" s="47">
        <v>133</v>
      </c>
      <c r="C137" s="47" t="s">
        <v>59</v>
      </c>
      <c r="D137" s="48">
        <v>21805</v>
      </c>
      <c r="E137" s="47">
        <v>15</v>
      </c>
      <c r="F137" s="47">
        <v>1</v>
      </c>
      <c r="G137" s="49">
        <v>27000</v>
      </c>
      <c r="H137" s="49">
        <v>15750</v>
      </c>
      <c r="I137" s="47">
        <v>89</v>
      </c>
      <c r="J137" s="47">
        <v>87</v>
      </c>
      <c r="K137" s="47">
        <v>0</v>
      </c>
    </row>
    <row r="138" spans="2:11" x14ac:dyDescent="0.25">
      <c r="B138" s="47">
        <v>134</v>
      </c>
      <c r="C138" s="47" t="s">
        <v>60</v>
      </c>
      <c r="D138" s="48">
        <v>15290</v>
      </c>
      <c r="E138" s="47">
        <v>16</v>
      </c>
      <c r="F138" s="47">
        <v>3</v>
      </c>
      <c r="G138" s="49">
        <v>41550</v>
      </c>
      <c r="H138" s="49">
        <v>24990</v>
      </c>
      <c r="I138" s="47">
        <v>89</v>
      </c>
      <c r="J138" s="47">
        <v>285</v>
      </c>
      <c r="K138" s="47">
        <v>0</v>
      </c>
    </row>
    <row r="139" spans="2:11" x14ac:dyDescent="0.25">
      <c r="B139" s="47">
        <v>135</v>
      </c>
      <c r="C139" s="47" t="s">
        <v>60</v>
      </c>
      <c r="D139" s="48">
        <v>24980</v>
      </c>
      <c r="E139" s="47">
        <v>12</v>
      </c>
      <c r="F139" s="47">
        <v>1</v>
      </c>
      <c r="G139" s="49">
        <v>26250</v>
      </c>
      <c r="H139" s="49">
        <v>10950</v>
      </c>
      <c r="I139" s="47">
        <v>89</v>
      </c>
      <c r="J139" s="47">
        <v>0</v>
      </c>
      <c r="K139" s="47">
        <v>0</v>
      </c>
    </row>
    <row r="140" spans="2:11" x14ac:dyDescent="0.25">
      <c r="B140" s="47">
        <v>136</v>
      </c>
      <c r="C140" s="47" t="s">
        <v>59</v>
      </c>
      <c r="D140" s="48">
        <v>14482</v>
      </c>
      <c r="E140" s="47">
        <v>12</v>
      </c>
      <c r="F140" s="47">
        <v>1</v>
      </c>
      <c r="G140" s="49">
        <v>22200</v>
      </c>
      <c r="H140" s="49">
        <v>15000</v>
      </c>
      <c r="I140" s="47">
        <v>88</v>
      </c>
      <c r="J140" s="47">
        <v>324</v>
      </c>
      <c r="K140" s="47">
        <v>0</v>
      </c>
    </row>
    <row r="141" spans="2:11" x14ac:dyDescent="0.25">
      <c r="B141" s="47">
        <v>137</v>
      </c>
      <c r="C141" s="47" t="s">
        <v>59</v>
      </c>
      <c r="D141" s="48">
        <v>13708</v>
      </c>
      <c r="E141" s="47">
        <v>21</v>
      </c>
      <c r="F141" s="47">
        <v>3</v>
      </c>
      <c r="G141" s="49">
        <v>65000</v>
      </c>
      <c r="H141" s="49">
        <v>37500</v>
      </c>
      <c r="I141" s="47">
        <v>88</v>
      </c>
      <c r="J141" s="47">
        <v>264</v>
      </c>
      <c r="K141" s="47">
        <v>0</v>
      </c>
    </row>
    <row r="142" spans="2:11" x14ac:dyDescent="0.25">
      <c r="B142" s="47">
        <v>138</v>
      </c>
      <c r="C142" s="47" t="s">
        <v>59</v>
      </c>
      <c r="D142" s="48">
        <v>17176</v>
      </c>
      <c r="E142" s="47">
        <v>12</v>
      </c>
      <c r="F142" s="47">
        <v>1</v>
      </c>
      <c r="G142" s="49">
        <v>30900</v>
      </c>
      <c r="H142" s="49">
        <v>15000</v>
      </c>
      <c r="I142" s="47">
        <v>88</v>
      </c>
      <c r="J142" s="47">
        <v>252</v>
      </c>
      <c r="K142" s="47">
        <v>0</v>
      </c>
    </row>
    <row r="143" spans="2:11" x14ac:dyDescent="0.25">
      <c r="B143" s="47">
        <v>139</v>
      </c>
      <c r="C143" s="47" t="s">
        <v>60</v>
      </c>
      <c r="D143" s="48">
        <v>11492</v>
      </c>
      <c r="E143" s="47">
        <v>8</v>
      </c>
      <c r="F143" s="47">
        <v>1</v>
      </c>
      <c r="G143" s="49">
        <v>20100</v>
      </c>
      <c r="H143" s="49">
        <v>13200</v>
      </c>
      <c r="I143" s="47">
        <v>88</v>
      </c>
      <c r="J143" s="47">
        <v>90</v>
      </c>
      <c r="K143" s="47">
        <v>0</v>
      </c>
    </row>
    <row r="144" spans="2:11" x14ac:dyDescent="0.25">
      <c r="B144" s="47">
        <v>140</v>
      </c>
      <c r="C144" s="47" t="s">
        <v>60</v>
      </c>
      <c r="D144" s="48">
        <v>23837</v>
      </c>
      <c r="E144" s="47">
        <v>12</v>
      </c>
      <c r="F144" s="47">
        <v>1</v>
      </c>
      <c r="G144" s="49">
        <v>22350</v>
      </c>
      <c r="H144" s="49">
        <v>13500</v>
      </c>
      <c r="I144" s="47">
        <v>88</v>
      </c>
      <c r="J144" s="47">
        <v>26</v>
      </c>
      <c r="K144" s="47">
        <v>0</v>
      </c>
    </row>
    <row r="145" spans="2:11" x14ac:dyDescent="0.25">
      <c r="B145" s="47">
        <v>141</v>
      </c>
      <c r="C145" s="47" t="s">
        <v>60</v>
      </c>
      <c r="D145" s="48">
        <v>24272</v>
      </c>
      <c r="E145" s="47">
        <v>15</v>
      </c>
      <c r="F145" s="47">
        <v>1</v>
      </c>
      <c r="G145" s="49">
        <v>35550</v>
      </c>
      <c r="H145" s="49">
        <v>13350</v>
      </c>
      <c r="I145" s="47">
        <v>88</v>
      </c>
      <c r="J145" s="47">
        <v>32</v>
      </c>
      <c r="K145" s="47">
        <v>0</v>
      </c>
    </row>
    <row r="146" spans="2:11" x14ac:dyDescent="0.25">
      <c r="B146" s="47">
        <v>142</v>
      </c>
      <c r="C146" s="47" t="s">
        <v>60</v>
      </c>
      <c r="D146" s="48">
        <v>24424</v>
      </c>
      <c r="E146" s="47">
        <v>12</v>
      </c>
      <c r="F146" s="47">
        <v>1</v>
      </c>
      <c r="G146" s="49">
        <v>28500</v>
      </c>
      <c r="H146" s="49">
        <v>13950</v>
      </c>
      <c r="I146" s="47">
        <v>88</v>
      </c>
      <c r="J146" s="47">
        <v>34</v>
      </c>
      <c r="K146" s="47">
        <v>0</v>
      </c>
    </row>
    <row r="147" spans="2:11" x14ac:dyDescent="0.25">
      <c r="B147" s="47">
        <v>143</v>
      </c>
      <c r="C147" s="47" t="s">
        <v>60</v>
      </c>
      <c r="D147" s="48">
        <v>14481</v>
      </c>
      <c r="E147" s="47">
        <v>12</v>
      </c>
      <c r="F147" s="47">
        <v>1</v>
      </c>
      <c r="G147" s="49">
        <v>24450</v>
      </c>
      <c r="H147" s="49">
        <v>13200</v>
      </c>
      <c r="I147" s="47">
        <v>88</v>
      </c>
      <c r="J147" s="47">
        <v>107</v>
      </c>
      <c r="K147" s="47">
        <v>0</v>
      </c>
    </row>
    <row r="148" spans="2:11" x14ac:dyDescent="0.25">
      <c r="B148" s="47">
        <v>144</v>
      </c>
      <c r="C148" s="47" t="s">
        <v>60</v>
      </c>
      <c r="D148" s="48">
        <v>11563</v>
      </c>
      <c r="E148" s="47">
        <v>8</v>
      </c>
      <c r="F148" s="47">
        <v>1</v>
      </c>
      <c r="G148" s="49">
        <v>16650</v>
      </c>
      <c r="H148" s="49">
        <v>9750</v>
      </c>
      <c r="I148" s="47">
        <v>88</v>
      </c>
      <c r="J148" s="47">
        <v>412</v>
      </c>
      <c r="K148" s="47">
        <v>0</v>
      </c>
    </row>
    <row r="149" spans="2:11" x14ac:dyDescent="0.25">
      <c r="B149" s="47">
        <v>145</v>
      </c>
      <c r="C149" s="47" t="s">
        <v>59</v>
      </c>
      <c r="D149" s="48">
        <v>23391</v>
      </c>
      <c r="E149" s="47">
        <v>12</v>
      </c>
      <c r="F149" s="47">
        <v>1</v>
      </c>
      <c r="G149" s="49">
        <v>26700</v>
      </c>
      <c r="H149" s="49">
        <v>13500</v>
      </c>
      <c r="I149" s="47">
        <v>88</v>
      </c>
      <c r="J149" s="47">
        <v>38</v>
      </c>
      <c r="K149" s="47">
        <v>1</v>
      </c>
    </row>
    <row r="150" spans="2:11" x14ac:dyDescent="0.25">
      <c r="B150" s="47">
        <v>146</v>
      </c>
      <c r="C150" s="47" t="s">
        <v>59</v>
      </c>
      <c r="D150" s="48">
        <v>18630</v>
      </c>
      <c r="E150" s="47">
        <v>18</v>
      </c>
      <c r="F150" s="47">
        <v>1</v>
      </c>
      <c r="G150" s="49">
        <v>43950</v>
      </c>
      <c r="H150" s="49">
        <v>23250</v>
      </c>
      <c r="I150" s="47">
        <v>88</v>
      </c>
      <c r="J150" s="47">
        <v>182</v>
      </c>
      <c r="K150" s="47">
        <v>1</v>
      </c>
    </row>
    <row r="151" spans="2:11" x14ac:dyDescent="0.25">
      <c r="B151" s="47">
        <v>147</v>
      </c>
      <c r="C151" s="47" t="s">
        <v>59</v>
      </c>
      <c r="D151" s="48">
        <v>13404</v>
      </c>
      <c r="E151" s="47">
        <v>15</v>
      </c>
      <c r="F151" s="47">
        <v>1</v>
      </c>
      <c r="G151" s="49">
        <v>23700</v>
      </c>
      <c r="H151" s="49">
        <v>13500</v>
      </c>
      <c r="I151" s="47">
        <v>88</v>
      </c>
      <c r="J151" s="47">
        <v>359</v>
      </c>
      <c r="K151" s="47">
        <v>1</v>
      </c>
    </row>
    <row r="152" spans="2:11" x14ac:dyDescent="0.25">
      <c r="B152" s="47">
        <v>148</v>
      </c>
      <c r="C152" s="47" t="s">
        <v>60</v>
      </c>
      <c r="D152" s="48">
        <v>21828</v>
      </c>
      <c r="E152" s="47">
        <v>15</v>
      </c>
      <c r="F152" s="47">
        <v>1</v>
      </c>
      <c r="G152" s="49">
        <v>26550</v>
      </c>
      <c r="H152" s="49">
        <v>14250</v>
      </c>
      <c r="I152" s="47">
        <v>88</v>
      </c>
      <c r="J152" s="47">
        <v>61</v>
      </c>
      <c r="K152" s="47">
        <v>1</v>
      </c>
    </row>
    <row r="153" spans="2:11" x14ac:dyDescent="0.25">
      <c r="B153" s="47">
        <v>149</v>
      </c>
      <c r="C153" s="47" t="s">
        <v>59</v>
      </c>
      <c r="D153" s="48">
        <v>22825</v>
      </c>
      <c r="E153" s="47">
        <v>12</v>
      </c>
      <c r="F153" s="47">
        <v>1</v>
      </c>
      <c r="G153" s="49">
        <v>27600</v>
      </c>
      <c r="H153" s="49">
        <v>15000</v>
      </c>
      <c r="I153" s="47">
        <v>87</v>
      </c>
      <c r="J153" s="47">
        <v>75</v>
      </c>
      <c r="K153" s="47">
        <v>0</v>
      </c>
    </row>
    <row r="154" spans="2:11" x14ac:dyDescent="0.25">
      <c r="B154" s="47">
        <v>150</v>
      </c>
      <c r="C154" s="47" t="s">
        <v>59</v>
      </c>
      <c r="D154" s="48">
        <v>19788</v>
      </c>
      <c r="E154" s="47">
        <v>12</v>
      </c>
      <c r="F154" s="47">
        <v>1</v>
      </c>
      <c r="G154" s="49">
        <v>25800</v>
      </c>
      <c r="H154" s="49">
        <v>15000</v>
      </c>
      <c r="I154" s="47">
        <v>87</v>
      </c>
      <c r="J154" s="47">
        <v>143</v>
      </c>
      <c r="K154" s="47">
        <v>0</v>
      </c>
    </row>
    <row r="155" spans="2:11" x14ac:dyDescent="0.25">
      <c r="B155" s="47">
        <v>151</v>
      </c>
      <c r="C155" s="47" t="s">
        <v>59</v>
      </c>
      <c r="D155" s="48">
        <v>19952</v>
      </c>
      <c r="E155" s="47">
        <v>16</v>
      </c>
      <c r="F155" s="47">
        <v>3</v>
      </c>
      <c r="G155" s="49">
        <v>42300</v>
      </c>
      <c r="H155" s="49">
        <v>26250</v>
      </c>
      <c r="I155" s="47">
        <v>87</v>
      </c>
      <c r="J155" s="47">
        <v>126</v>
      </c>
      <c r="K155" s="47">
        <v>0</v>
      </c>
    </row>
    <row r="156" spans="2:11" x14ac:dyDescent="0.25">
      <c r="B156" s="47">
        <v>152</v>
      </c>
      <c r="C156" s="47" t="s">
        <v>59</v>
      </c>
      <c r="D156" s="48">
        <v>10716</v>
      </c>
      <c r="E156" s="47">
        <v>8</v>
      </c>
      <c r="F156" s="47">
        <v>2</v>
      </c>
      <c r="G156" s="49">
        <v>30750</v>
      </c>
      <c r="H156" s="49">
        <v>15000</v>
      </c>
      <c r="I156" s="47">
        <v>87</v>
      </c>
      <c r="J156" s="47">
        <v>451</v>
      </c>
      <c r="K156" s="47">
        <v>0</v>
      </c>
    </row>
    <row r="157" spans="2:11" x14ac:dyDescent="0.25">
      <c r="B157" s="47">
        <v>153</v>
      </c>
      <c r="C157" s="47" t="s">
        <v>60</v>
      </c>
      <c r="D157" s="48">
        <v>24605</v>
      </c>
      <c r="E157" s="47">
        <v>12</v>
      </c>
      <c r="F157" s="47">
        <v>1</v>
      </c>
      <c r="G157" s="49">
        <v>26700</v>
      </c>
      <c r="H157" s="49">
        <v>12900</v>
      </c>
      <c r="I157" s="47">
        <v>87</v>
      </c>
      <c r="J157" s="47">
        <v>18</v>
      </c>
      <c r="K157" s="47">
        <v>0</v>
      </c>
    </row>
    <row r="158" spans="2:11" x14ac:dyDescent="0.25">
      <c r="B158" s="47">
        <v>154</v>
      </c>
      <c r="C158" s="47" t="s">
        <v>60</v>
      </c>
      <c r="D158" s="48">
        <v>14769</v>
      </c>
      <c r="E158" s="47">
        <v>12</v>
      </c>
      <c r="F158" s="47">
        <v>1</v>
      </c>
      <c r="G158" s="49">
        <v>20850</v>
      </c>
      <c r="H158" s="49">
        <v>12000</v>
      </c>
      <c r="I158" s="47">
        <v>87</v>
      </c>
      <c r="J158" s="47">
        <v>163</v>
      </c>
      <c r="K158" s="47">
        <v>0</v>
      </c>
    </row>
    <row r="159" spans="2:11" x14ac:dyDescent="0.25">
      <c r="B159" s="47">
        <v>155</v>
      </c>
      <c r="C159" s="47" t="s">
        <v>59</v>
      </c>
      <c r="D159" s="48">
        <v>23076</v>
      </c>
      <c r="E159" s="47">
        <v>15</v>
      </c>
      <c r="F159" s="47">
        <v>1</v>
      </c>
      <c r="G159" s="49">
        <v>35250</v>
      </c>
      <c r="H159" s="49">
        <v>15000</v>
      </c>
      <c r="I159" s="47">
        <v>87</v>
      </c>
      <c r="J159" s="47">
        <v>54</v>
      </c>
      <c r="K159" s="47">
        <v>1</v>
      </c>
    </row>
    <row r="160" spans="2:11" x14ac:dyDescent="0.25">
      <c r="B160" s="47">
        <v>156</v>
      </c>
      <c r="C160" s="47" t="s">
        <v>59</v>
      </c>
      <c r="D160" s="48">
        <v>23023</v>
      </c>
      <c r="E160" s="47">
        <v>15</v>
      </c>
      <c r="F160" s="47">
        <v>1</v>
      </c>
      <c r="G160" s="49">
        <v>26700</v>
      </c>
      <c r="H160" s="49">
        <v>15000</v>
      </c>
      <c r="I160" s="47">
        <v>87</v>
      </c>
      <c r="J160" s="47">
        <v>56</v>
      </c>
      <c r="K160" s="47">
        <v>1</v>
      </c>
    </row>
    <row r="161" spans="2:11" x14ac:dyDescent="0.25">
      <c r="B161" s="47">
        <v>157</v>
      </c>
      <c r="C161" s="47" t="s">
        <v>60</v>
      </c>
      <c r="D161" s="48">
        <v>24655</v>
      </c>
      <c r="E161" s="47">
        <v>12</v>
      </c>
      <c r="F161" s="47">
        <v>1</v>
      </c>
      <c r="G161" s="49">
        <v>26550</v>
      </c>
      <c r="H161" s="49">
        <v>13050</v>
      </c>
      <c r="I161" s="47">
        <v>87</v>
      </c>
      <c r="J161" s="47">
        <v>11</v>
      </c>
      <c r="K161" s="47">
        <v>1</v>
      </c>
    </row>
    <row r="162" spans="2:11" x14ac:dyDescent="0.25">
      <c r="B162" s="47">
        <v>158</v>
      </c>
      <c r="C162" s="47" t="s">
        <v>60</v>
      </c>
      <c r="D162" s="48">
        <v>23640</v>
      </c>
      <c r="E162" s="47">
        <v>12</v>
      </c>
      <c r="F162" s="47">
        <v>1</v>
      </c>
      <c r="G162" s="49">
        <v>27750</v>
      </c>
      <c r="H162" s="49">
        <v>12000</v>
      </c>
      <c r="I162" s="47">
        <v>87</v>
      </c>
      <c r="J162" s="47">
        <v>11</v>
      </c>
      <c r="K162" s="47">
        <v>1</v>
      </c>
    </row>
    <row r="163" spans="2:11" x14ac:dyDescent="0.25">
      <c r="B163" s="47">
        <v>159</v>
      </c>
      <c r="C163" s="47" t="s">
        <v>60</v>
      </c>
      <c r="D163" s="48">
        <v>18641</v>
      </c>
      <c r="E163" s="47">
        <v>16</v>
      </c>
      <c r="F163" s="47">
        <v>1</v>
      </c>
      <c r="G163" s="49">
        <v>25050</v>
      </c>
      <c r="H163" s="49">
        <v>12750</v>
      </c>
      <c r="I163" s="47">
        <v>87</v>
      </c>
      <c r="J163" s="47">
        <v>123</v>
      </c>
      <c r="K163" s="47">
        <v>1</v>
      </c>
    </row>
    <row r="164" spans="2:11" x14ac:dyDescent="0.25">
      <c r="B164" s="47">
        <v>160</v>
      </c>
      <c r="C164" s="47" t="s">
        <v>59</v>
      </c>
      <c r="D164" s="48">
        <v>18867</v>
      </c>
      <c r="E164" s="47">
        <v>16</v>
      </c>
      <c r="F164" s="47">
        <v>3</v>
      </c>
      <c r="G164" s="49">
        <v>66000</v>
      </c>
      <c r="H164" s="49">
        <v>47490</v>
      </c>
      <c r="I164" s="47">
        <v>86</v>
      </c>
      <c r="J164" s="47">
        <v>150</v>
      </c>
      <c r="K164" s="47">
        <v>0</v>
      </c>
    </row>
    <row r="165" spans="2:11" x14ac:dyDescent="0.25">
      <c r="B165" s="47">
        <v>161</v>
      </c>
      <c r="C165" s="47" t="s">
        <v>59</v>
      </c>
      <c r="D165" s="48">
        <v>23053</v>
      </c>
      <c r="E165" s="47">
        <v>16</v>
      </c>
      <c r="F165" s="47">
        <v>1</v>
      </c>
      <c r="G165" s="49">
        <v>52650</v>
      </c>
      <c r="H165" s="49">
        <v>19500</v>
      </c>
      <c r="I165" s="47">
        <v>86</v>
      </c>
      <c r="J165" s="47">
        <v>20</v>
      </c>
      <c r="K165" s="47">
        <v>0</v>
      </c>
    </row>
    <row r="166" spans="2:11" x14ac:dyDescent="0.25">
      <c r="B166" s="47">
        <v>162</v>
      </c>
      <c r="C166" s="47" t="s">
        <v>59</v>
      </c>
      <c r="D166" s="48">
        <v>22426</v>
      </c>
      <c r="E166" s="47">
        <v>16</v>
      </c>
      <c r="F166" s="47">
        <v>3</v>
      </c>
      <c r="G166" s="49">
        <v>45625</v>
      </c>
      <c r="H166" s="49">
        <v>23250</v>
      </c>
      <c r="I166" s="47">
        <v>86</v>
      </c>
      <c r="J166" s="47">
        <v>60</v>
      </c>
      <c r="K166" s="47">
        <v>0</v>
      </c>
    </row>
    <row r="167" spans="2:11" x14ac:dyDescent="0.25">
      <c r="B167" s="47">
        <v>163</v>
      </c>
      <c r="C167" s="47" t="s">
        <v>59</v>
      </c>
      <c r="D167" s="48">
        <v>24056</v>
      </c>
      <c r="E167" s="47">
        <v>15</v>
      </c>
      <c r="F167" s="47">
        <v>1</v>
      </c>
      <c r="G167" s="49">
        <v>30900</v>
      </c>
      <c r="H167" s="49">
        <v>15000</v>
      </c>
      <c r="I167" s="47">
        <v>86</v>
      </c>
      <c r="J167" s="47">
        <v>25</v>
      </c>
      <c r="K167" s="47">
        <v>0</v>
      </c>
    </row>
    <row r="168" spans="2:11" x14ac:dyDescent="0.25">
      <c r="B168" s="47">
        <v>164</v>
      </c>
      <c r="C168" s="47" t="s">
        <v>60</v>
      </c>
      <c r="D168" s="48">
        <v>23967</v>
      </c>
      <c r="E168" s="47">
        <v>15</v>
      </c>
      <c r="F168" s="47">
        <v>1</v>
      </c>
      <c r="G168" s="49">
        <v>29400</v>
      </c>
      <c r="H168" s="49">
        <v>16500</v>
      </c>
      <c r="I168" s="47">
        <v>86</v>
      </c>
      <c r="J168" s="47">
        <v>24</v>
      </c>
      <c r="K168" s="47">
        <v>0</v>
      </c>
    </row>
    <row r="169" spans="2:11" x14ac:dyDescent="0.25">
      <c r="B169" s="47">
        <v>165</v>
      </c>
      <c r="C169" s="47" t="s">
        <v>60</v>
      </c>
      <c r="D169" s="48">
        <v>24226</v>
      </c>
      <c r="E169" s="47">
        <v>15</v>
      </c>
      <c r="F169" s="47">
        <v>1</v>
      </c>
      <c r="G169" s="49">
        <v>33300</v>
      </c>
      <c r="H169" s="49">
        <v>13500</v>
      </c>
      <c r="I169" s="47">
        <v>86</v>
      </c>
      <c r="J169" s="47">
        <v>24</v>
      </c>
      <c r="K169" s="47">
        <v>0</v>
      </c>
    </row>
    <row r="170" spans="2:11" x14ac:dyDescent="0.25">
      <c r="B170" s="47">
        <v>166</v>
      </c>
      <c r="C170" s="47" t="s">
        <v>60</v>
      </c>
      <c r="D170" s="48">
        <v>15534</v>
      </c>
      <c r="E170" s="47">
        <v>12</v>
      </c>
      <c r="F170" s="47">
        <v>1</v>
      </c>
      <c r="G170" s="49">
        <v>21900</v>
      </c>
      <c r="H170" s="49">
        <v>9750</v>
      </c>
      <c r="I170" s="47">
        <v>86</v>
      </c>
      <c r="J170" s="47">
        <v>156</v>
      </c>
      <c r="K170" s="47">
        <v>0</v>
      </c>
    </row>
    <row r="171" spans="2:11" x14ac:dyDescent="0.25">
      <c r="B171" s="47">
        <v>167</v>
      </c>
      <c r="C171" s="47" t="s">
        <v>60</v>
      </c>
      <c r="D171" s="48">
        <v>11927</v>
      </c>
      <c r="E171" s="47">
        <v>12</v>
      </c>
      <c r="F171" s="47">
        <v>1</v>
      </c>
      <c r="G171" s="49">
        <v>18150</v>
      </c>
      <c r="H171" s="49">
        <v>9750</v>
      </c>
      <c r="I171" s="47">
        <v>86</v>
      </c>
      <c r="J171" s="47">
        <v>72</v>
      </c>
      <c r="K171" s="47">
        <v>0</v>
      </c>
    </row>
    <row r="172" spans="2:11" x14ac:dyDescent="0.25">
      <c r="B172" s="47">
        <v>168</v>
      </c>
      <c r="C172" s="47" t="s">
        <v>60</v>
      </c>
      <c r="D172" s="48">
        <v>22759</v>
      </c>
      <c r="E172" s="47">
        <v>16</v>
      </c>
      <c r="F172" s="47">
        <v>3</v>
      </c>
      <c r="G172" s="49">
        <v>46875</v>
      </c>
      <c r="H172" s="49">
        <v>17250</v>
      </c>
      <c r="I172" s="47">
        <v>86</v>
      </c>
      <c r="J172" s="47">
        <v>19</v>
      </c>
      <c r="K172" s="47">
        <v>0</v>
      </c>
    </row>
    <row r="173" spans="2:11" x14ac:dyDescent="0.25">
      <c r="B173" s="47">
        <v>169</v>
      </c>
      <c r="C173" s="47" t="s">
        <v>59</v>
      </c>
      <c r="D173" s="48">
        <v>23885</v>
      </c>
      <c r="E173" s="47">
        <v>12</v>
      </c>
      <c r="F173" s="47">
        <v>1</v>
      </c>
      <c r="G173" s="49">
        <v>25500</v>
      </c>
      <c r="H173" s="49">
        <v>14400</v>
      </c>
      <c r="I173" s="47">
        <v>86</v>
      </c>
      <c r="J173" s="47">
        <v>37</v>
      </c>
      <c r="K173" s="47">
        <v>1</v>
      </c>
    </row>
    <row r="174" spans="2:11" x14ac:dyDescent="0.25">
      <c r="B174" s="47">
        <v>170</v>
      </c>
      <c r="C174" s="47" t="s">
        <v>59</v>
      </c>
      <c r="D174" s="48">
        <v>23541</v>
      </c>
      <c r="E174" s="47">
        <v>12</v>
      </c>
      <c r="F174" s="47">
        <v>1</v>
      </c>
      <c r="G174" s="49">
        <v>26550</v>
      </c>
      <c r="H174" s="49">
        <v>15000</v>
      </c>
      <c r="I174" s="47">
        <v>86</v>
      </c>
      <c r="J174" s="47">
        <v>38</v>
      </c>
      <c r="K174" s="47">
        <v>1</v>
      </c>
    </row>
    <row r="175" spans="2:11" x14ac:dyDescent="0.25">
      <c r="B175" s="47">
        <v>171</v>
      </c>
      <c r="C175" s="47" t="s">
        <v>59</v>
      </c>
      <c r="D175" s="48">
        <v>10979</v>
      </c>
      <c r="E175" s="47">
        <v>12</v>
      </c>
      <c r="F175" s="47">
        <v>1</v>
      </c>
      <c r="G175" s="49">
        <v>26700</v>
      </c>
      <c r="H175" s="49">
        <v>13500</v>
      </c>
      <c r="I175" s="47">
        <v>86</v>
      </c>
      <c r="J175" s="47">
        <v>367</v>
      </c>
      <c r="K175" s="47">
        <v>1</v>
      </c>
    </row>
    <row r="176" spans="2:11" x14ac:dyDescent="0.25">
      <c r="B176" s="47">
        <v>172</v>
      </c>
      <c r="C176" s="47" t="s">
        <v>60</v>
      </c>
      <c r="D176" s="48">
        <v>19523</v>
      </c>
      <c r="E176" s="47">
        <v>15</v>
      </c>
      <c r="F176" s="47">
        <v>1</v>
      </c>
      <c r="G176" s="49">
        <v>29850</v>
      </c>
      <c r="H176" s="49">
        <v>15000</v>
      </c>
      <c r="I176" s="47">
        <v>86</v>
      </c>
      <c r="J176" s="47">
        <v>79</v>
      </c>
      <c r="K176" s="47">
        <v>1</v>
      </c>
    </row>
    <row r="177" spans="2:11" x14ac:dyDescent="0.25">
      <c r="B177" s="47">
        <v>173</v>
      </c>
      <c r="C177" s="47" t="s">
        <v>59</v>
      </c>
      <c r="D177" s="48">
        <v>18278</v>
      </c>
      <c r="E177" s="47">
        <v>20</v>
      </c>
      <c r="F177" s="47">
        <v>3</v>
      </c>
      <c r="G177" s="49">
        <v>69250</v>
      </c>
      <c r="H177" s="49">
        <v>42480</v>
      </c>
      <c r="I177" s="47">
        <v>85</v>
      </c>
      <c r="J177" s="47">
        <v>134</v>
      </c>
      <c r="K177" s="47">
        <v>0</v>
      </c>
    </row>
    <row r="178" spans="2:11" x14ac:dyDescent="0.25">
      <c r="B178" s="47">
        <v>174</v>
      </c>
      <c r="C178" s="47" t="s">
        <v>59</v>
      </c>
      <c r="D178" s="48">
        <v>12791</v>
      </c>
      <c r="E178" s="47">
        <v>8</v>
      </c>
      <c r="F178" s="47">
        <v>2</v>
      </c>
      <c r="G178" s="49">
        <v>31950</v>
      </c>
      <c r="H178" s="49">
        <v>15000</v>
      </c>
      <c r="I178" s="47">
        <v>85</v>
      </c>
      <c r="J178" s="47">
        <v>438</v>
      </c>
      <c r="K178" s="47">
        <v>0</v>
      </c>
    </row>
    <row r="179" spans="2:11" x14ac:dyDescent="0.25">
      <c r="B179" s="47">
        <v>175</v>
      </c>
      <c r="C179" s="47" t="s">
        <v>59</v>
      </c>
      <c r="D179" s="48">
        <v>13888</v>
      </c>
      <c r="E179" s="47">
        <v>8</v>
      </c>
      <c r="F179" s="47">
        <v>1</v>
      </c>
      <c r="G179" s="49">
        <v>26250</v>
      </c>
      <c r="H179" s="49">
        <v>15600</v>
      </c>
      <c r="I179" s="47">
        <v>85</v>
      </c>
      <c r="J179" s="47">
        <v>171</v>
      </c>
      <c r="K179" s="47">
        <v>0</v>
      </c>
    </row>
    <row r="180" spans="2:11" x14ac:dyDescent="0.25">
      <c r="B180" s="47">
        <v>176</v>
      </c>
      <c r="C180" s="47" t="s">
        <v>60</v>
      </c>
      <c r="D180" s="48">
        <v>22924</v>
      </c>
      <c r="E180" s="47">
        <v>16</v>
      </c>
      <c r="F180" s="47">
        <v>1</v>
      </c>
      <c r="G180" s="49">
        <v>35700</v>
      </c>
      <c r="H180" s="49">
        <v>17250</v>
      </c>
      <c r="I180" s="47">
        <v>85</v>
      </c>
      <c r="J180" s="47">
        <v>19</v>
      </c>
      <c r="K180" s="47">
        <v>0</v>
      </c>
    </row>
    <row r="181" spans="2:11" x14ac:dyDescent="0.25">
      <c r="B181" s="47">
        <v>177</v>
      </c>
      <c r="C181" s="47" t="s">
        <v>60</v>
      </c>
      <c r="D181" s="48">
        <v>22869</v>
      </c>
      <c r="E181" s="47">
        <v>12</v>
      </c>
      <c r="F181" s="47">
        <v>1</v>
      </c>
      <c r="G181" s="49">
        <v>28500</v>
      </c>
      <c r="H181" s="49">
        <v>16500</v>
      </c>
      <c r="I181" s="47">
        <v>85</v>
      </c>
      <c r="J181" s="47">
        <v>69</v>
      </c>
      <c r="K181" s="47">
        <v>0</v>
      </c>
    </row>
    <row r="182" spans="2:11" x14ac:dyDescent="0.25">
      <c r="B182" s="47">
        <v>178</v>
      </c>
      <c r="C182" s="47" t="s">
        <v>60</v>
      </c>
      <c r="D182" s="48">
        <v>13897</v>
      </c>
      <c r="E182" s="47">
        <v>12</v>
      </c>
      <c r="F182" s="47">
        <v>1</v>
      </c>
      <c r="G182" s="49">
        <v>17100</v>
      </c>
      <c r="H182" s="49">
        <v>10200</v>
      </c>
      <c r="I182" s="47">
        <v>85</v>
      </c>
      <c r="J182" s="47">
        <v>72</v>
      </c>
      <c r="K182" s="47">
        <v>0</v>
      </c>
    </row>
    <row r="183" spans="2:11" x14ac:dyDescent="0.25">
      <c r="B183" s="47">
        <v>179</v>
      </c>
      <c r="C183" s="47" t="s">
        <v>59</v>
      </c>
      <c r="D183" s="48">
        <v>23761</v>
      </c>
      <c r="E183" s="47">
        <v>12</v>
      </c>
      <c r="F183" s="47">
        <v>1</v>
      </c>
      <c r="G183" s="49">
        <v>25200</v>
      </c>
      <c r="H183" s="49">
        <v>13050</v>
      </c>
      <c r="I183" s="47">
        <v>85</v>
      </c>
      <c r="J183" s="47">
        <v>29</v>
      </c>
      <c r="K183" s="47">
        <v>1</v>
      </c>
    </row>
    <row r="184" spans="2:11" x14ac:dyDescent="0.25">
      <c r="B184" s="47">
        <v>180</v>
      </c>
      <c r="C184" s="47" t="s">
        <v>60</v>
      </c>
      <c r="D184" s="48">
        <v>21938</v>
      </c>
      <c r="E184" s="47">
        <v>12</v>
      </c>
      <c r="F184" s="47">
        <v>1</v>
      </c>
      <c r="G184" s="49">
        <v>24000</v>
      </c>
      <c r="H184" s="49">
        <v>12750</v>
      </c>
      <c r="I184" s="47">
        <v>85</v>
      </c>
      <c r="J184" s="47">
        <v>59</v>
      </c>
      <c r="K184" s="47">
        <v>1</v>
      </c>
    </row>
    <row r="185" spans="2:11" x14ac:dyDescent="0.25">
      <c r="B185" s="47">
        <v>181</v>
      </c>
      <c r="C185" s="47" t="s">
        <v>60</v>
      </c>
      <c r="D185" s="48">
        <v>14249</v>
      </c>
      <c r="E185" s="47">
        <v>12</v>
      </c>
      <c r="F185" s="47">
        <v>1</v>
      </c>
      <c r="G185" s="49">
        <v>27450</v>
      </c>
      <c r="H185" s="49">
        <v>10200</v>
      </c>
      <c r="I185" s="47">
        <v>85</v>
      </c>
      <c r="J185" s="47">
        <v>101</v>
      </c>
      <c r="K185" s="47">
        <v>1</v>
      </c>
    </row>
    <row r="186" spans="2:11" x14ac:dyDescent="0.25">
      <c r="B186" s="47">
        <v>182</v>
      </c>
      <c r="C186" s="47" t="s">
        <v>60</v>
      </c>
      <c r="D186" s="48">
        <v>15773</v>
      </c>
      <c r="E186" s="47">
        <v>12</v>
      </c>
      <c r="F186" s="47">
        <v>1</v>
      </c>
      <c r="G186" s="49">
        <v>18450</v>
      </c>
      <c r="H186" s="49">
        <v>10200</v>
      </c>
      <c r="I186" s="47">
        <v>85</v>
      </c>
      <c r="J186" s="47">
        <v>228</v>
      </c>
      <c r="K186" s="47">
        <v>1</v>
      </c>
    </row>
    <row r="187" spans="2:11" x14ac:dyDescent="0.25">
      <c r="B187" s="47">
        <v>183</v>
      </c>
      <c r="C187" s="47" t="s">
        <v>59</v>
      </c>
      <c r="D187" s="48">
        <v>21976</v>
      </c>
      <c r="E187" s="47">
        <v>15</v>
      </c>
      <c r="F187" s="47">
        <v>1</v>
      </c>
      <c r="G187" s="49">
        <v>39300</v>
      </c>
      <c r="H187" s="49">
        <v>15750</v>
      </c>
      <c r="I187" s="47">
        <v>84</v>
      </c>
      <c r="J187" s="47">
        <v>72</v>
      </c>
      <c r="K187" s="47">
        <v>0</v>
      </c>
    </row>
    <row r="188" spans="2:11" x14ac:dyDescent="0.25">
      <c r="B188" s="47">
        <v>184</v>
      </c>
      <c r="C188" s="47" t="s">
        <v>59</v>
      </c>
      <c r="D188" s="48">
        <v>23686</v>
      </c>
      <c r="E188" s="47">
        <v>15</v>
      </c>
      <c r="F188" s="47">
        <v>1</v>
      </c>
      <c r="G188" s="49">
        <v>38850</v>
      </c>
      <c r="H188" s="49">
        <v>15000</v>
      </c>
      <c r="I188" s="47">
        <v>84</v>
      </c>
      <c r="J188" s="47">
        <v>53</v>
      </c>
      <c r="K188" s="47">
        <v>0</v>
      </c>
    </row>
    <row r="189" spans="2:11" x14ac:dyDescent="0.25">
      <c r="B189" s="47">
        <v>185</v>
      </c>
      <c r="C189" s="47" t="s">
        <v>59</v>
      </c>
      <c r="D189" s="48">
        <v>11198</v>
      </c>
      <c r="E189" s="47">
        <v>8</v>
      </c>
      <c r="F189" s="47">
        <v>2</v>
      </c>
      <c r="G189" s="49">
        <v>30750</v>
      </c>
      <c r="H189" s="49">
        <v>15000</v>
      </c>
      <c r="I189" s="47">
        <v>84</v>
      </c>
      <c r="J189" s="47">
        <v>380</v>
      </c>
      <c r="K189" s="47">
        <v>0</v>
      </c>
    </row>
    <row r="190" spans="2:11" x14ac:dyDescent="0.25">
      <c r="B190" s="47">
        <v>186</v>
      </c>
      <c r="C190" s="47" t="s">
        <v>59</v>
      </c>
      <c r="D190" s="48">
        <v>23564</v>
      </c>
      <c r="E190" s="47">
        <v>15</v>
      </c>
      <c r="F190" s="47">
        <v>1</v>
      </c>
      <c r="G190" s="49">
        <v>37500</v>
      </c>
      <c r="H190" s="49">
        <v>20400</v>
      </c>
      <c r="I190" s="47">
        <v>84</v>
      </c>
      <c r="J190" s="47">
        <v>33</v>
      </c>
      <c r="K190" s="47">
        <v>0</v>
      </c>
    </row>
    <row r="191" spans="2:11" x14ac:dyDescent="0.25">
      <c r="B191" s="47">
        <v>187</v>
      </c>
      <c r="C191" s="47" t="s">
        <v>59</v>
      </c>
      <c r="D191" s="48">
        <v>23221</v>
      </c>
      <c r="E191" s="47">
        <v>16</v>
      </c>
      <c r="F191" s="47">
        <v>3</v>
      </c>
      <c r="G191" s="49">
        <v>58750</v>
      </c>
      <c r="H191" s="49">
        <v>21750</v>
      </c>
      <c r="I191" s="47">
        <v>84</v>
      </c>
      <c r="J191" s="47">
        <v>13</v>
      </c>
      <c r="K191" s="47">
        <v>0</v>
      </c>
    </row>
    <row r="192" spans="2:11" x14ac:dyDescent="0.25">
      <c r="B192" s="47">
        <v>188</v>
      </c>
      <c r="C192" s="47" t="s">
        <v>60</v>
      </c>
      <c r="D192" s="48">
        <v>12454</v>
      </c>
      <c r="E192" s="47">
        <v>12</v>
      </c>
      <c r="F192" s="47">
        <v>1</v>
      </c>
      <c r="G192" s="49">
        <v>34500</v>
      </c>
      <c r="H192" s="49">
        <v>18750</v>
      </c>
      <c r="I192" s="47">
        <v>84</v>
      </c>
      <c r="J192" s="47">
        <v>208</v>
      </c>
      <c r="K192" s="47">
        <v>0</v>
      </c>
    </row>
    <row r="193" spans="2:11" x14ac:dyDescent="0.25">
      <c r="B193" s="47">
        <v>189</v>
      </c>
      <c r="C193" s="47" t="s">
        <v>60</v>
      </c>
      <c r="D193" s="48">
        <v>18350</v>
      </c>
      <c r="E193" s="47">
        <v>12</v>
      </c>
      <c r="F193" s="47">
        <v>1</v>
      </c>
      <c r="G193" s="49">
        <v>36000</v>
      </c>
      <c r="H193" s="49">
        <v>19980</v>
      </c>
      <c r="I193" s="47">
        <v>84</v>
      </c>
      <c r="J193" s="47">
        <v>240</v>
      </c>
      <c r="K193" s="47">
        <v>0</v>
      </c>
    </row>
    <row r="194" spans="2:11" x14ac:dyDescent="0.25">
      <c r="B194" s="47">
        <v>190</v>
      </c>
      <c r="C194" s="47" t="s">
        <v>60</v>
      </c>
      <c r="D194" s="48">
        <v>12008</v>
      </c>
      <c r="E194" s="47">
        <v>8</v>
      </c>
      <c r="F194" s="47">
        <v>1</v>
      </c>
      <c r="G194" s="49">
        <v>29100</v>
      </c>
      <c r="H194" s="49">
        <v>16500</v>
      </c>
      <c r="I194" s="47">
        <v>84</v>
      </c>
      <c r="J194" s="47">
        <v>35</v>
      </c>
      <c r="K194" s="47">
        <v>0</v>
      </c>
    </row>
    <row r="195" spans="2:11" x14ac:dyDescent="0.25">
      <c r="B195" s="47">
        <v>191</v>
      </c>
      <c r="C195" s="47" t="s">
        <v>60</v>
      </c>
      <c r="D195" s="48">
        <v>11619</v>
      </c>
      <c r="E195" s="47">
        <v>12</v>
      </c>
      <c r="F195" s="47">
        <v>1</v>
      </c>
      <c r="G195" s="49">
        <v>16500</v>
      </c>
      <c r="H195" s="49">
        <v>10200</v>
      </c>
      <c r="I195" s="47">
        <v>84</v>
      </c>
      <c r="J195" s="47">
        <v>288</v>
      </c>
      <c r="K195" s="47">
        <v>0</v>
      </c>
    </row>
    <row r="196" spans="2:11" x14ac:dyDescent="0.25">
      <c r="B196" s="47">
        <v>192</v>
      </c>
      <c r="C196" s="47" t="s">
        <v>59</v>
      </c>
      <c r="D196" s="48">
        <v>18180</v>
      </c>
      <c r="E196" s="47">
        <v>12</v>
      </c>
      <c r="F196" s="47">
        <v>1</v>
      </c>
      <c r="G196" s="49">
        <v>19650</v>
      </c>
      <c r="H196" s="49">
        <v>12750</v>
      </c>
      <c r="I196" s="47">
        <v>84</v>
      </c>
      <c r="J196" s="47">
        <v>180</v>
      </c>
      <c r="K196" s="47">
        <v>1</v>
      </c>
    </row>
    <row r="197" spans="2:11" x14ac:dyDescent="0.25">
      <c r="B197" s="47">
        <v>193</v>
      </c>
      <c r="C197" s="47" t="s">
        <v>60</v>
      </c>
      <c r="D197" s="48">
        <v>24310</v>
      </c>
      <c r="E197" s="47">
        <v>12</v>
      </c>
      <c r="F197" s="47">
        <v>1</v>
      </c>
      <c r="G197" s="49">
        <v>24750</v>
      </c>
      <c r="H197" s="49">
        <v>12000</v>
      </c>
      <c r="I197" s="47">
        <v>84</v>
      </c>
      <c r="J197" s="47">
        <v>41</v>
      </c>
      <c r="K197" s="47">
        <v>1</v>
      </c>
    </row>
    <row r="198" spans="2:11" x14ac:dyDescent="0.25">
      <c r="B198" s="47">
        <v>194</v>
      </c>
      <c r="C198" s="47" t="s">
        <v>60</v>
      </c>
      <c r="D198" s="48">
        <v>13980</v>
      </c>
      <c r="E198" s="47">
        <v>15</v>
      </c>
      <c r="F198" s="47">
        <v>1</v>
      </c>
      <c r="G198" s="49">
        <v>27150</v>
      </c>
      <c r="H198" s="49">
        <v>15750</v>
      </c>
      <c r="I198" s="47">
        <v>84</v>
      </c>
      <c r="J198" s="47">
        <v>231</v>
      </c>
      <c r="K198" s="47">
        <v>1</v>
      </c>
    </row>
    <row r="199" spans="2:11" x14ac:dyDescent="0.25">
      <c r="B199" s="47">
        <v>195</v>
      </c>
      <c r="C199" s="47" t="s">
        <v>60</v>
      </c>
      <c r="D199" s="48">
        <v>20399</v>
      </c>
      <c r="E199" s="47">
        <v>12</v>
      </c>
      <c r="F199" s="47">
        <v>1</v>
      </c>
      <c r="G199" s="49">
        <v>26400</v>
      </c>
      <c r="H199" s="49">
        <v>12750</v>
      </c>
      <c r="I199" s="47">
        <v>84</v>
      </c>
      <c r="J199" s="47">
        <v>36</v>
      </c>
      <c r="K199" s="47">
        <v>1</v>
      </c>
    </row>
    <row r="200" spans="2:11" x14ac:dyDescent="0.25">
      <c r="B200" s="47">
        <v>196</v>
      </c>
      <c r="C200" s="47" t="s">
        <v>60</v>
      </c>
      <c r="D200" s="48">
        <v>16864</v>
      </c>
      <c r="E200" s="47">
        <v>16</v>
      </c>
      <c r="F200" s="47">
        <v>1</v>
      </c>
      <c r="G200" s="49">
        <v>23100</v>
      </c>
      <c r="H200" s="49">
        <v>12000</v>
      </c>
      <c r="I200" s="47">
        <v>84</v>
      </c>
      <c r="J200" s="47">
        <v>214</v>
      </c>
      <c r="K200" s="47">
        <v>1</v>
      </c>
    </row>
    <row r="201" spans="2:11" x14ac:dyDescent="0.25">
      <c r="B201" s="47">
        <v>197</v>
      </c>
      <c r="C201" s="47" t="s">
        <v>59</v>
      </c>
      <c r="D201" s="48">
        <v>22920</v>
      </c>
      <c r="E201" s="47">
        <v>15</v>
      </c>
      <c r="F201" s="47">
        <v>3</v>
      </c>
      <c r="G201" s="49">
        <v>54900</v>
      </c>
      <c r="H201" s="49">
        <v>25500</v>
      </c>
      <c r="I201" s="47">
        <v>83</v>
      </c>
      <c r="J201" s="47">
        <v>49</v>
      </c>
      <c r="K201" s="47">
        <v>0</v>
      </c>
    </row>
    <row r="202" spans="2:11" x14ac:dyDescent="0.25">
      <c r="B202" s="47">
        <v>35</v>
      </c>
      <c r="C202" s="47" t="s">
        <v>59</v>
      </c>
      <c r="D202" s="48">
        <v>22515</v>
      </c>
      <c r="E202" s="47">
        <v>17</v>
      </c>
      <c r="F202" s="47">
        <v>3</v>
      </c>
      <c r="G202" s="49">
        <v>81250</v>
      </c>
      <c r="H202" s="49">
        <v>30000</v>
      </c>
      <c r="I202" s="47">
        <v>96</v>
      </c>
      <c r="J202" s="47">
        <v>18</v>
      </c>
      <c r="K202" s="47">
        <v>0</v>
      </c>
    </row>
    <row r="203" spans="2:11" x14ac:dyDescent="0.25">
      <c r="B203" s="47">
        <v>199</v>
      </c>
      <c r="C203" s="47" t="s">
        <v>59</v>
      </c>
      <c r="D203" s="48">
        <v>21218</v>
      </c>
      <c r="E203" s="47">
        <v>16</v>
      </c>
      <c r="F203" s="47">
        <v>3</v>
      </c>
      <c r="G203" s="49">
        <v>51250</v>
      </c>
      <c r="H203" s="49">
        <v>27480</v>
      </c>
      <c r="I203" s="47">
        <v>83</v>
      </c>
      <c r="J203" s="47">
        <v>69</v>
      </c>
      <c r="K203" s="47">
        <v>0</v>
      </c>
    </row>
    <row r="204" spans="2:11" x14ac:dyDescent="0.25">
      <c r="B204" s="47">
        <v>200</v>
      </c>
      <c r="C204" s="47" t="s">
        <v>59</v>
      </c>
      <c r="D204" s="48">
        <v>23055</v>
      </c>
      <c r="E204" s="47">
        <v>17</v>
      </c>
      <c r="F204" s="47">
        <v>3</v>
      </c>
      <c r="G204" s="49">
        <v>67500</v>
      </c>
      <c r="H204" s="49">
        <v>34980</v>
      </c>
      <c r="I204" s="47">
        <v>83</v>
      </c>
      <c r="J204" s="47">
        <v>9</v>
      </c>
      <c r="K204" s="47">
        <v>0</v>
      </c>
    </row>
    <row r="205" spans="2:11" x14ac:dyDescent="0.25">
      <c r="B205" s="47">
        <v>201</v>
      </c>
      <c r="C205" s="47" t="s">
        <v>59</v>
      </c>
      <c r="D205" s="48">
        <v>20217</v>
      </c>
      <c r="E205" s="47">
        <v>12</v>
      </c>
      <c r="F205" s="47">
        <v>1</v>
      </c>
      <c r="G205" s="49">
        <v>29340</v>
      </c>
      <c r="H205" s="49">
        <v>19500</v>
      </c>
      <c r="I205" s="47">
        <v>83</v>
      </c>
      <c r="J205" s="47">
        <v>150</v>
      </c>
      <c r="K205" s="47">
        <v>0</v>
      </c>
    </row>
    <row r="206" spans="2:11" x14ac:dyDescent="0.25">
      <c r="B206" s="47">
        <v>202</v>
      </c>
      <c r="C206" s="47" t="s">
        <v>59</v>
      </c>
      <c r="D206" s="48">
        <v>23087</v>
      </c>
      <c r="E206" s="47">
        <v>15</v>
      </c>
      <c r="F206" s="47">
        <v>1</v>
      </c>
      <c r="G206" s="49">
        <v>39600</v>
      </c>
      <c r="H206" s="49">
        <v>16500</v>
      </c>
      <c r="I206" s="47">
        <v>83</v>
      </c>
      <c r="J206" s="47">
        <v>47</v>
      </c>
      <c r="K206" s="47">
        <v>0</v>
      </c>
    </row>
    <row r="207" spans="2:11" x14ac:dyDescent="0.25">
      <c r="B207" s="47">
        <v>203</v>
      </c>
      <c r="C207" s="47" t="s">
        <v>59</v>
      </c>
      <c r="D207" s="48">
        <v>23453</v>
      </c>
      <c r="E207" s="47">
        <v>12</v>
      </c>
      <c r="F207" s="47">
        <v>1</v>
      </c>
      <c r="G207" s="49">
        <v>29100</v>
      </c>
      <c r="H207" s="49">
        <v>15000</v>
      </c>
      <c r="I207" s="47">
        <v>83</v>
      </c>
      <c r="J207" s="47">
        <v>50</v>
      </c>
      <c r="K207" s="47">
        <v>0</v>
      </c>
    </row>
    <row r="208" spans="2:11" x14ac:dyDescent="0.25">
      <c r="B208" s="47">
        <v>204</v>
      </c>
      <c r="C208" s="47" t="s">
        <v>59</v>
      </c>
      <c r="D208" s="48">
        <v>22210</v>
      </c>
      <c r="E208" s="47">
        <v>15</v>
      </c>
      <c r="F208" s="47">
        <v>1</v>
      </c>
      <c r="G208" s="49">
        <v>33150</v>
      </c>
      <c r="H208" s="49">
        <v>16500</v>
      </c>
      <c r="I208" s="47">
        <v>83</v>
      </c>
      <c r="J208" s="47">
        <v>69</v>
      </c>
      <c r="K208" s="47">
        <v>0</v>
      </c>
    </row>
    <row r="209" spans="2:11" x14ac:dyDescent="0.25">
      <c r="B209" s="47">
        <v>205</v>
      </c>
      <c r="C209" s="47" t="s">
        <v>59</v>
      </c>
      <c r="D209" s="48">
        <v>16245</v>
      </c>
      <c r="E209" s="47">
        <v>16</v>
      </c>
      <c r="F209" s="47">
        <v>3</v>
      </c>
      <c r="G209" s="49">
        <v>66750</v>
      </c>
      <c r="H209" s="49">
        <v>52500</v>
      </c>
      <c r="I209" s="47">
        <v>83</v>
      </c>
      <c r="J209" s="47">
        <v>258</v>
      </c>
      <c r="K209" s="47">
        <v>0</v>
      </c>
    </row>
    <row r="210" spans="2:11" x14ac:dyDescent="0.25">
      <c r="B210" s="47">
        <v>206</v>
      </c>
      <c r="C210" s="47" t="s">
        <v>59</v>
      </c>
      <c r="D210" s="48">
        <v>15848</v>
      </c>
      <c r="E210" s="47">
        <v>12</v>
      </c>
      <c r="F210" s="47">
        <v>2</v>
      </c>
      <c r="G210" s="49">
        <v>33750</v>
      </c>
      <c r="H210" s="49">
        <v>15000</v>
      </c>
      <c r="I210" s="47">
        <v>83</v>
      </c>
      <c r="J210" s="47">
        <v>284</v>
      </c>
      <c r="K210" s="47">
        <v>0</v>
      </c>
    </row>
    <row r="211" spans="2:11" x14ac:dyDescent="0.25">
      <c r="B211" s="47">
        <v>207</v>
      </c>
      <c r="C211" s="47" t="s">
        <v>59</v>
      </c>
      <c r="D211" s="48">
        <v>21596</v>
      </c>
      <c r="E211" s="47">
        <v>15</v>
      </c>
      <c r="F211" s="47">
        <v>1</v>
      </c>
      <c r="G211" s="49">
        <v>27300</v>
      </c>
      <c r="H211" s="49">
        <v>17250</v>
      </c>
      <c r="I211" s="47">
        <v>83</v>
      </c>
      <c r="J211" s="47">
        <v>91</v>
      </c>
      <c r="K211" s="47">
        <v>0</v>
      </c>
    </row>
    <row r="212" spans="2:11" x14ac:dyDescent="0.25">
      <c r="B212" s="47">
        <v>208</v>
      </c>
      <c r="C212" s="47" t="s">
        <v>60</v>
      </c>
      <c r="D212" s="48">
        <v>25170</v>
      </c>
      <c r="E212" s="47">
        <v>12</v>
      </c>
      <c r="F212" s="47">
        <v>1</v>
      </c>
      <c r="G212" s="49">
        <v>24000</v>
      </c>
      <c r="H212" s="49">
        <v>11250</v>
      </c>
      <c r="I212" s="47">
        <v>83</v>
      </c>
      <c r="J212" s="47">
        <v>16</v>
      </c>
      <c r="K212" s="47">
        <v>0</v>
      </c>
    </row>
    <row r="213" spans="2:11" x14ac:dyDescent="0.25">
      <c r="B213" s="47">
        <v>209</v>
      </c>
      <c r="C213" s="47" t="s">
        <v>60</v>
      </c>
      <c r="D213" s="48">
        <v>12433</v>
      </c>
      <c r="E213" s="47">
        <v>8</v>
      </c>
      <c r="F213" s="47">
        <v>1</v>
      </c>
      <c r="G213" s="49">
        <v>19800</v>
      </c>
      <c r="H213" s="49">
        <v>10200</v>
      </c>
      <c r="I213" s="47">
        <v>83</v>
      </c>
      <c r="J213" s="47">
        <v>75</v>
      </c>
      <c r="K213" s="47">
        <v>0</v>
      </c>
    </row>
    <row r="214" spans="2:11" x14ac:dyDescent="0.25">
      <c r="B214" s="47">
        <v>210</v>
      </c>
      <c r="C214" s="47" t="s">
        <v>59</v>
      </c>
      <c r="D214" s="48">
        <v>18022</v>
      </c>
      <c r="E214" s="47">
        <v>15</v>
      </c>
      <c r="F214" s="47">
        <v>1</v>
      </c>
      <c r="G214" s="49">
        <v>30600</v>
      </c>
      <c r="H214" s="49">
        <v>16500</v>
      </c>
      <c r="I214" s="47">
        <v>83</v>
      </c>
      <c r="J214" s="47">
        <v>216</v>
      </c>
      <c r="K214" s="47">
        <v>1</v>
      </c>
    </row>
    <row r="215" spans="2:11" x14ac:dyDescent="0.25">
      <c r="B215" s="47">
        <v>211</v>
      </c>
      <c r="C215" s="47" t="s">
        <v>59</v>
      </c>
      <c r="D215" s="48">
        <v>18575</v>
      </c>
      <c r="E215" s="47">
        <v>15</v>
      </c>
      <c r="F215" s="47">
        <v>1</v>
      </c>
      <c r="G215" s="49">
        <v>28950</v>
      </c>
      <c r="H215" s="49">
        <v>15000</v>
      </c>
      <c r="I215" s="47">
        <v>83</v>
      </c>
      <c r="J215" s="47">
        <v>108</v>
      </c>
      <c r="K215" s="47">
        <v>1</v>
      </c>
    </row>
    <row r="216" spans="2:11" x14ac:dyDescent="0.25">
      <c r="B216" s="47">
        <v>212</v>
      </c>
      <c r="C216" s="47" t="s">
        <v>59</v>
      </c>
      <c r="D216" s="48">
        <v>23876</v>
      </c>
      <c r="E216" s="47">
        <v>15</v>
      </c>
      <c r="F216" s="47">
        <v>1</v>
      </c>
      <c r="G216" s="49">
        <v>38400</v>
      </c>
      <c r="H216" s="49">
        <v>16500</v>
      </c>
      <c r="I216" s="47">
        <v>83</v>
      </c>
      <c r="J216" s="47">
        <v>64</v>
      </c>
      <c r="K216" s="47">
        <v>1</v>
      </c>
    </row>
    <row r="217" spans="2:11" x14ac:dyDescent="0.25">
      <c r="B217" s="47">
        <v>213</v>
      </c>
      <c r="C217" s="47" t="s">
        <v>59</v>
      </c>
      <c r="D217" s="48">
        <v>16730</v>
      </c>
      <c r="E217" s="47">
        <v>8</v>
      </c>
      <c r="F217" s="47">
        <v>2</v>
      </c>
      <c r="G217" s="49">
        <v>30750</v>
      </c>
      <c r="H217" s="49">
        <v>15000</v>
      </c>
      <c r="I217" s="47">
        <v>83</v>
      </c>
      <c r="J217" s="47">
        <v>302</v>
      </c>
      <c r="K217" s="47">
        <v>1</v>
      </c>
    </row>
    <row r="218" spans="2:11" x14ac:dyDescent="0.25">
      <c r="B218" s="47">
        <v>214</v>
      </c>
      <c r="C218" s="47" t="s">
        <v>60</v>
      </c>
      <c r="D218" s="48">
        <v>25094</v>
      </c>
      <c r="E218" s="47">
        <v>12</v>
      </c>
      <c r="F218" s="47">
        <v>1</v>
      </c>
      <c r="G218" s="49">
        <v>20400</v>
      </c>
      <c r="H218" s="49">
        <v>10950</v>
      </c>
      <c r="I218" s="47">
        <v>83</v>
      </c>
      <c r="J218" s="47">
        <v>9</v>
      </c>
      <c r="K218" s="47">
        <v>1</v>
      </c>
    </row>
    <row r="219" spans="2:11" x14ac:dyDescent="0.25">
      <c r="B219" s="47">
        <v>215</v>
      </c>
      <c r="C219" s="47" t="s">
        <v>60</v>
      </c>
      <c r="D219" s="48">
        <v>25096</v>
      </c>
      <c r="E219" s="47">
        <v>12</v>
      </c>
      <c r="F219" s="47">
        <v>1</v>
      </c>
      <c r="G219" s="49">
        <v>19200</v>
      </c>
      <c r="H219" s="49">
        <v>11100</v>
      </c>
      <c r="I219" s="47">
        <v>83</v>
      </c>
      <c r="J219" s="47">
        <v>7</v>
      </c>
      <c r="K219" s="47">
        <v>1</v>
      </c>
    </row>
    <row r="220" spans="2:11" x14ac:dyDescent="0.25">
      <c r="B220" s="47">
        <v>216</v>
      </c>
      <c r="C220" s="47" t="s">
        <v>59</v>
      </c>
      <c r="D220" s="48">
        <v>23513</v>
      </c>
      <c r="E220" s="47">
        <v>15</v>
      </c>
      <c r="F220" s="47">
        <v>1</v>
      </c>
      <c r="G220" s="49">
        <v>30150</v>
      </c>
      <c r="H220" s="49">
        <v>15750</v>
      </c>
      <c r="I220" s="47">
        <v>82</v>
      </c>
      <c r="J220" s="47">
        <v>72</v>
      </c>
      <c r="K220" s="47">
        <v>0</v>
      </c>
    </row>
    <row r="221" spans="2:11" x14ac:dyDescent="0.25">
      <c r="B221" s="47">
        <v>217</v>
      </c>
      <c r="C221" s="47" t="s">
        <v>59</v>
      </c>
      <c r="D221" s="48">
        <v>17972</v>
      </c>
      <c r="E221" s="47">
        <v>16</v>
      </c>
      <c r="F221" s="47">
        <v>1</v>
      </c>
      <c r="G221" s="49">
        <v>34620</v>
      </c>
      <c r="H221" s="49">
        <v>27750</v>
      </c>
      <c r="I221" s="47">
        <v>82</v>
      </c>
      <c r="J221" s="47">
        <v>149</v>
      </c>
      <c r="K221" s="47">
        <v>0</v>
      </c>
    </row>
    <row r="222" spans="2:11" x14ac:dyDescent="0.25">
      <c r="B222" s="47">
        <v>218</v>
      </c>
      <c r="C222" s="47" t="s">
        <v>59</v>
      </c>
      <c r="D222" s="48">
        <v>23457</v>
      </c>
      <c r="E222" s="47">
        <v>15</v>
      </c>
      <c r="F222" s="47">
        <v>1</v>
      </c>
      <c r="G222" s="49">
        <v>80000</v>
      </c>
      <c r="H222" s="49">
        <v>15750</v>
      </c>
      <c r="I222" s="47">
        <v>82</v>
      </c>
      <c r="J222" s="47">
        <v>34</v>
      </c>
      <c r="K222" s="47">
        <v>0</v>
      </c>
    </row>
    <row r="223" spans="2:11" x14ac:dyDescent="0.25">
      <c r="B223" s="47">
        <v>219</v>
      </c>
      <c r="C223" s="47" t="s">
        <v>59</v>
      </c>
      <c r="D223" s="48">
        <v>23044</v>
      </c>
      <c r="E223" s="47">
        <v>12</v>
      </c>
      <c r="F223" s="47">
        <v>1</v>
      </c>
      <c r="G223" s="49">
        <v>25350</v>
      </c>
      <c r="H223" s="49">
        <v>15000</v>
      </c>
      <c r="I223" s="47">
        <v>82</v>
      </c>
      <c r="J223" s="47">
        <v>32</v>
      </c>
      <c r="K223" s="47">
        <v>0</v>
      </c>
    </row>
    <row r="224" spans="2:11" x14ac:dyDescent="0.25">
      <c r="B224" s="47">
        <v>220</v>
      </c>
      <c r="C224" s="47" t="s">
        <v>59</v>
      </c>
      <c r="D224" s="48">
        <v>23240</v>
      </c>
      <c r="E224" s="47">
        <v>12</v>
      </c>
      <c r="F224" s="47">
        <v>1</v>
      </c>
      <c r="G224" s="49">
        <v>29850</v>
      </c>
      <c r="H224" s="49">
        <v>15750</v>
      </c>
      <c r="I224" s="47">
        <v>82</v>
      </c>
      <c r="J224" s="47">
        <v>85</v>
      </c>
      <c r="K224" s="47">
        <v>0</v>
      </c>
    </row>
    <row r="225" spans="2:11" x14ac:dyDescent="0.25">
      <c r="B225" s="47">
        <v>221</v>
      </c>
      <c r="C225" s="47" t="s">
        <v>60</v>
      </c>
      <c r="D225" s="48">
        <v>17309</v>
      </c>
      <c r="E225" s="47">
        <v>12</v>
      </c>
      <c r="F225" s="47">
        <v>1</v>
      </c>
      <c r="G225" s="49">
        <v>24000</v>
      </c>
      <c r="H225" s="49">
        <v>13800</v>
      </c>
      <c r="I225" s="47">
        <v>82</v>
      </c>
      <c r="J225" s="47">
        <v>97</v>
      </c>
      <c r="K225" s="47">
        <v>0</v>
      </c>
    </row>
    <row r="226" spans="2:11" x14ac:dyDescent="0.25">
      <c r="B226" s="47">
        <v>222</v>
      </c>
      <c r="C226" s="47" t="s">
        <v>60</v>
      </c>
      <c r="D226" s="48">
        <v>13042</v>
      </c>
      <c r="E226" s="47">
        <v>15</v>
      </c>
      <c r="F226" s="47">
        <v>1</v>
      </c>
      <c r="G226" s="49">
        <v>27750</v>
      </c>
      <c r="H226" s="49">
        <v>19500</v>
      </c>
      <c r="I226" s="47">
        <v>82</v>
      </c>
      <c r="J226" s="47">
        <v>265</v>
      </c>
      <c r="K226" s="47">
        <v>0</v>
      </c>
    </row>
    <row r="227" spans="2:11" x14ac:dyDescent="0.25">
      <c r="B227" s="47">
        <v>223</v>
      </c>
      <c r="C227" s="47" t="s">
        <v>60</v>
      </c>
      <c r="D227" s="48">
        <v>15414</v>
      </c>
      <c r="E227" s="47">
        <v>8</v>
      </c>
      <c r="F227" s="47">
        <v>1</v>
      </c>
      <c r="G227" s="49">
        <v>22350</v>
      </c>
      <c r="H227" s="49">
        <v>10200</v>
      </c>
      <c r="I227" s="47">
        <v>82</v>
      </c>
      <c r="J227" s="47">
        <v>48</v>
      </c>
      <c r="K227" s="47">
        <v>0</v>
      </c>
    </row>
    <row r="228" spans="2:11" x14ac:dyDescent="0.25">
      <c r="B228" s="47">
        <v>224</v>
      </c>
      <c r="C228" s="47" t="s">
        <v>60</v>
      </c>
      <c r="D228" s="48">
        <v>12743</v>
      </c>
      <c r="E228" s="47">
        <v>12</v>
      </c>
      <c r="F228" s="47">
        <v>1</v>
      </c>
      <c r="G228" s="49">
        <v>16200</v>
      </c>
      <c r="H228" s="49">
        <v>10200</v>
      </c>
      <c r="I228" s="47">
        <v>82</v>
      </c>
      <c r="J228" s="47">
        <v>0</v>
      </c>
      <c r="K228" s="47">
        <v>0</v>
      </c>
    </row>
    <row r="229" spans="2:11" x14ac:dyDescent="0.25">
      <c r="B229" s="47">
        <v>225</v>
      </c>
      <c r="C229" s="47" t="s">
        <v>60</v>
      </c>
      <c r="D229" s="48">
        <v>24758</v>
      </c>
      <c r="E229" s="47">
        <v>15</v>
      </c>
      <c r="F229" s="47">
        <v>1</v>
      </c>
      <c r="G229" s="49">
        <v>21900</v>
      </c>
      <c r="H229" s="49">
        <v>12750</v>
      </c>
      <c r="I229" s="47">
        <v>82</v>
      </c>
      <c r="J229" s="47">
        <v>0</v>
      </c>
      <c r="K229" s="47">
        <v>0</v>
      </c>
    </row>
    <row r="230" spans="2:11" x14ac:dyDescent="0.25">
      <c r="B230" s="47">
        <v>226</v>
      </c>
      <c r="C230" s="47" t="s">
        <v>60</v>
      </c>
      <c r="D230" s="48">
        <v>23549</v>
      </c>
      <c r="E230" s="47">
        <v>16</v>
      </c>
      <c r="F230" s="47">
        <v>1</v>
      </c>
      <c r="G230" s="49">
        <v>23250</v>
      </c>
      <c r="H230" s="49">
        <v>15750</v>
      </c>
      <c r="I230" s="47">
        <v>82</v>
      </c>
      <c r="J230" s="47">
        <v>4</v>
      </c>
      <c r="K230" s="47">
        <v>0</v>
      </c>
    </row>
    <row r="231" spans="2:11" x14ac:dyDescent="0.25">
      <c r="B231" s="47">
        <v>227</v>
      </c>
      <c r="C231" s="47" t="s">
        <v>60</v>
      </c>
      <c r="D231" s="48">
        <v>23940</v>
      </c>
      <c r="E231" s="47">
        <v>12</v>
      </c>
      <c r="F231" s="47">
        <v>1</v>
      </c>
      <c r="G231" s="49">
        <v>33900</v>
      </c>
      <c r="H231" s="49">
        <v>12000</v>
      </c>
      <c r="I231" s="47">
        <v>82</v>
      </c>
      <c r="J231" s="47">
        <v>11</v>
      </c>
      <c r="K231" s="47">
        <v>0</v>
      </c>
    </row>
    <row r="232" spans="2:11" x14ac:dyDescent="0.25">
      <c r="B232" s="47">
        <v>228</v>
      </c>
      <c r="C232" s="47" t="s">
        <v>60</v>
      </c>
      <c r="D232" s="48">
        <v>23275</v>
      </c>
      <c r="E232" s="47">
        <v>15</v>
      </c>
      <c r="F232" s="47">
        <v>1</v>
      </c>
      <c r="G232" s="49">
        <v>25650</v>
      </c>
      <c r="H232" s="49">
        <v>14250</v>
      </c>
      <c r="I232" s="47">
        <v>82</v>
      </c>
      <c r="J232" s="47">
        <v>51</v>
      </c>
      <c r="K232" s="47">
        <v>0</v>
      </c>
    </row>
    <row r="233" spans="2:11" x14ac:dyDescent="0.25">
      <c r="B233" s="47">
        <v>229</v>
      </c>
      <c r="C233" s="47" t="s">
        <v>60</v>
      </c>
      <c r="D233" s="48">
        <v>14844</v>
      </c>
      <c r="E233" s="47">
        <v>12</v>
      </c>
      <c r="F233" s="47">
        <v>1</v>
      </c>
      <c r="G233" s="49">
        <v>17250</v>
      </c>
      <c r="H233" s="49">
        <v>10200</v>
      </c>
      <c r="I233" s="47">
        <v>82</v>
      </c>
      <c r="J233" s="47">
        <v>358</v>
      </c>
      <c r="K233" s="47">
        <v>0</v>
      </c>
    </row>
    <row r="234" spans="2:11" x14ac:dyDescent="0.25">
      <c r="B234" s="47">
        <v>230</v>
      </c>
      <c r="C234" s="47" t="s">
        <v>59</v>
      </c>
      <c r="D234" s="48">
        <v>12454</v>
      </c>
      <c r="E234" s="47">
        <v>15</v>
      </c>
      <c r="F234" s="47">
        <v>1</v>
      </c>
      <c r="G234" s="49">
        <v>22500</v>
      </c>
      <c r="H234" s="49">
        <v>15000</v>
      </c>
      <c r="I234" s="47">
        <v>82</v>
      </c>
      <c r="J234" s="47">
        <v>371</v>
      </c>
      <c r="K234" s="47">
        <v>1</v>
      </c>
    </row>
    <row r="235" spans="2:11" x14ac:dyDescent="0.25">
      <c r="B235" s="47">
        <v>231</v>
      </c>
      <c r="C235" s="47" t="s">
        <v>59</v>
      </c>
      <c r="D235" s="48">
        <v>23751</v>
      </c>
      <c r="E235" s="47">
        <v>16</v>
      </c>
      <c r="F235" s="47">
        <v>3</v>
      </c>
      <c r="G235" s="49">
        <v>40200</v>
      </c>
      <c r="H235" s="49">
        <v>21000</v>
      </c>
      <c r="I235" s="47">
        <v>81</v>
      </c>
      <c r="J235" s="47">
        <v>3</v>
      </c>
      <c r="K235" s="47">
        <v>0</v>
      </c>
    </row>
    <row r="236" spans="2:11" x14ac:dyDescent="0.25">
      <c r="B236" s="47">
        <v>232</v>
      </c>
      <c r="C236" s="47" t="s">
        <v>59</v>
      </c>
      <c r="D236" s="48">
        <v>23267</v>
      </c>
      <c r="E236" s="47">
        <v>19</v>
      </c>
      <c r="F236" s="47">
        <v>3</v>
      </c>
      <c r="G236" s="49">
        <v>55500</v>
      </c>
      <c r="H236" s="49">
        <v>33750</v>
      </c>
      <c r="I236" s="47">
        <v>81</v>
      </c>
      <c r="J236" s="47">
        <v>62</v>
      </c>
      <c r="K236" s="47">
        <v>0</v>
      </c>
    </row>
    <row r="237" spans="2:11" x14ac:dyDescent="0.25">
      <c r="B237" s="47">
        <v>233</v>
      </c>
      <c r="C237" s="47" t="s">
        <v>59</v>
      </c>
      <c r="D237" s="48">
        <v>23213</v>
      </c>
      <c r="E237" s="47">
        <v>15</v>
      </c>
      <c r="F237" s="47">
        <v>1</v>
      </c>
      <c r="G237" s="49">
        <v>26550</v>
      </c>
      <c r="H237" s="49">
        <v>15000</v>
      </c>
      <c r="I237" s="47">
        <v>81</v>
      </c>
      <c r="J237" s="47">
        <v>52</v>
      </c>
      <c r="K237" s="47">
        <v>0</v>
      </c>
    </row>
    <row r="238" spans="2:11" x14ac:dyDescent="0.25">
      <c r="B238" s="47">
        <v>234</v>
      </c>
      <c r="C238" s="47" t="s">
        <v>59</v>
      </c>
      <c r="D238" s="48">
        <v>22232</v>
      </c>
      <c r="E238" s="47">
        <v>15</v>
      </c>
      <c r="F238" s="47">
        <v>1</v>
      </c>
      <c r="G238" s="49">
        <v>50550</v>
      </c>
      <c r="H238" s="49">
        <v>19500</v>
      </c>
      <c r="I238" s="47">
        <v>81</v>
      </c>
      <c r="J238" s="47">
        <v>44</v>
      </c>
      <c r="K238" s="47">
        <v>0</v>
      </c>
    </row>
    <row r="239" spans="2:11" x14ac:dyDescent="0.25">
      <c r="B239" s="47">
        <v>383</v>
      </c>
      <c r="C239" s="47" t="s">
        <v>59</v>
      </c>
      <c r="D239" s="48">
        <v>22435</v>
      </c>
      <c r="E239" s="47">
        <v>17</v>
      </c>
      <c r="F239" s="47">
        <v>3</v>
      </c>
      <c r="G239" s="49">
        <v>78500</v>
      </c>
      <c r="H239" s="49">
        <v>28740</v>
      </c>
      <c r="I239" s="47">
        <v>70</v>
      </c>
      <c r="J239" s="47">
        <v>67</v>
      </c>
      <c r="K239" s="47">
        <v>1</v>
      </c>
    </row>
    <row r="240" spans="2:11" x14ac:dyDescent="0.25">
      <c r="B240" s="47">
        <v>236</v>
      </c>
      <c r="C240" s="47" t="s">
        <v>60</v>
      </c>
      <c r="D240" s="48">
        <v>25325</v>
      </c>
      <c r="E240" s="47">
        <v>8</v>
      </c>
      <c r="F240" s="47">
        <v>1</v>
      </c>
      <c r="G240" s="49">
        <v>27450</v>
      </c>
      <c r="H240" s="49">
        <v>12000</v>
      </c>
      <c r="I240" s="47">
        <v>81</v>
      </c>
      <c r="J240" s="47">
        <v>9</v>
      </c>
      <c r="K240" s="47">
        <v>0</v>
      </c>
    </row>
    <row r="241" spans="2:11" x14ac:dyDescent="0.25">
      <c r="B241" s="47">
        <v>237</v>
      </c>
      <c r="C241" s="47" t="s">
        <v>60</v>
      </c>
      <c r="D241" s="48">
        <v>25358</v>
      </c>
      <c r="E241" s="47">
        <v>12</v>
      </c>
      <c r="F241" s="47">
        <v>1</v>
      </c>
      <c r="G241" s="49">
        <v>22650</v>
      </c>
      <c r="H241" s="49">
        <v>11250</v>
      </c>
      <c r="I241" s="47">
        <v>81</v>
      </c>
      <c r="J241" s="47">
        <v>0</v>
      </c>
      <c r="K241" s="47">
        <v>0</v>
      </c>
    </row>
    <row r="242" spans="2:11" x14ac:dyDescent="0.25">
      <c r="B242" s="47">
        <v>238</v>
      </c>
      <c r="C242" s="47" t="s">
        <v>60</v>
      </c>
      <c r="D242" s="48">
        <v>25369</v>
      </c>
      <c r="E242" s="47">
        <v>12</v>
      </c>
      <c r="F242" s="47">
        <v>1</v>
      </c>
      <c r="G242" s="49">
        <v>27300</v>
      </c>
      <c r="H242" s="49">
        <v>11250</v>
      </c>
      <c r="I242" s="47">
        <v>81</v>
      </c>
      <c r="J242" s="47">
        <v>5</v>
      </c>
      <c r="K242" s="47">
        <v>0</v>
      </c>
    </row>
    <row r="243" spans="2:11" x14ac:dyDescent="0.25">
      <c r="B243" s="47">
        <v>239</v>
      </c>
      <c r="C243" s="47" t="s">
        <v>60</v>
      </c>
      <c r="D243" s="48">
        <v>25460</v>
      </c>
      <c r="E243" s="47">
        <v>12</v>
      </c>
      <c r="F243" s="47">
        <v>1</v>
      </c>
      <c r="G243" s="49">
        <v>27750</v>
      </c>
      <c r="H243" s="49">
        <v>11225</v>
      </c>
      <c r="I243" s="47">
        <v>81</v>
      </c>
      <c r="J243" s="47">
        <v>5</v>
      </c>
      <c r="K243" s="47">
        <v>0</v>
      </c>
    </row>
    <row r="244" spans="2:11" x14ac:dyDescent="0.25">
      <c r="B244" s="47">
        <v>240</v>
      </c>
      <c r="C244" s="47" t="s">
        <v>60</v>
      </c>
      <c r="D244" s="48">
        <v>22447</v>
      </c>
      <c r="E244" s="47">
        <v>16</v>
      </c>
      <c r="F244" s="47">
        <v>3</v>
      </c>
      <c r="G244" s="49">
        <v>54375</v>
      </c>
      <c r="H244" s="49">
        <v>18750</v>
      </c>
      <c r="I244" s="47">
        <v>81</v>
      </c>
      <c r="J244" s="47">
        <v>81</v>
      </c>
      <c r="K244" s="47">
        <v>0</v>
      </c>
    </row>
    <row r="245" spans="2:11" x14ac:dyDescent="0.25">
      <c r="B245" s="47">
        <v>241</v>
      </c>
      <c r="C245" s="47" t="s">
        <v>60</v>
      </c>
      <c r="D245" s="48">
        <v>13389</v>
      </c>
      <c r="E245" s="47">
        <v>8</v>
      </c>
      <c r="F245" s="47">
        <v>1</v>
      </c>
      <c r="G245" s="49">
        <v>17400</v>
      </c>
      <c r="H245" s="49">
        <v>10200</v>
      </c>
      <c r="I245" s="47">
        <v>81</v>
      </c>
      <c r="J245" s="47">
        <v>390</v>
      </c>
      <c r="K245" s="47">
        <v>0</v>
      </c>
    </row>
    <row r="246" spans="2:11" x14ac:dyDescent="0.25">
      <c r="B246" s="47">
        <v>242</v>
      </c>
      <c r="C246" s="47" t="s">
        <v>60</v>
      </c>
      <c r="D246" s="48">
        <v>24779</v>
      </c>
      <c r="E246" s="47">
        <v>12</v>
      </c>
      <c r="F246" s="47">
        <v>1</v>
      </c>
      <c r="G246" s="49">
        <v>40800</v>
      </c>
      <c r="H246" s="49">
        <v>18000</v>
      </c>
      <c r="I246" s="47">
        <v>81</v>
      </c>
      <c r="J246" s="47">
        <v>4</v>
      </c>
      <c r="K246" s="47">
        <v>0</v>
      </c>
    </row>
    <row r="247" spans="2:11" x14ac:dyDescent="0.25">
      <c r="B247" s="47">
        <v>243</v>
      </c>
      <c r="C247" s="47" t="s">
        <v>60</v>
      </c>
      <c r="D247" s="48">
        <v>25244</v>
      </c>
      <c r="E247" s="47">
        <v>12</v>
      </c>
      <c r="F247" s="47">
        <v>1</v>
      </c>
      <c r="G247" s="49">
        <v>23100</v>
      </c>
      <c r="H247" s="49">
        <v>10950</v>
      </c>
      <c r="I247" s="47">
        <v>81</v>
      </c>
      <c r="J247" s="47">
        <v>0</v>
      </c>
      <c r="K247" s="47">
        <v>0</v>
      </c>
    </row>
    <row r="248" spans="2:11" x14ac:dyDescent="0.25">
      <c r="B248" s="47">
        <v>244</v>
      </c>
      <c r="C248" s="47" t="s">
        <v>60</v>
      </c>
      <c r="D248" s="48">
        <v>25461</v>
      </c>
      <c r="E248" s="47">
        <v>8</v>
      </c>
      <c r="F248" s="47">
        <v>1</v>
      </c>
      <c r="G248" s="49">
        <v>22500</v>
      </c>
      <c r="H248" s="49">
        <v>10950</v>
      </c>
      <c r="I248" s="47">
        <v>81</v>
      </c>
      <c r="J248" s="47">
        <v>5</v>
      </c>
      <c r="K248" s="47">
        <v>0</v>
      </c>
    </row>
    <row r="249" spans="2:11" x14ac:dyDescent="0.25">
      <c r="B249" s="47">
        <v>245</v>
      </c>
      <c r="C249" s="47" t="s">
        <v>60</v>
      </c>
      <c r="D249" s="48">
        <v>25278</v>
      </c>
      <c r="E249" s="47">
        <v>12</v>
      </c>
      <c r="F249" s="47">
        <v>1</v>
      </c>
      <c r="G249" s="49">
        <v>26700</v>
      </c>
      <c r="H249" s="49">
        <v>11550</v>
      </c>
      <c r="I249" s="47">
        <v>81</v>
      </c>
      <c r="J249" s="47">
        <v>18</v>
      </c>
      <c r="K249" s="47">
        <v>0</v>
      </c>
    </row>
    <row r="250" spans="2:11" x14ac:dyDescent="0.25">
      <c r="B250" s="47">
        <v>246</v>
      </c>
      <c r="C250" s="47" t="s">
        <v>60</v>
      </c>
      <c r="D250" s="48">
        <v>24851</v>
      </c>
      <c r="E250" s="47">
        <v>12</v>
      </c>
      <c r="F250" s="47">
        <v>1</v>
      </c>
      <c r="G250" s="49">
        <v>24900</v>
      </c>
      <c r="H250" s="49">
        <v>11250</v>
      </c>
      <c r="I250" s="47">
        <v>81</v>
      </c>
      <c r="J250" s="47">
        <v>0</v>
      </c>
      <c r="K250" s="47">
        <v>0</v>
      </c>
    </row>
    <row r="251" spans="2:11" x14ac:dyDescent="0.25">
      <c r="B251" s="47">
        <v>247</v>
      </c>
      <c r="C251" s="47" t="s">
        <v>60</v>
      </c>
      <c r="D251" s="48">
        <v>24971</v>
      </c>
      <c r="E251" s="47">
        <v>12</v>
      </c>
      <c r="F251" s="47">
        <v>1</v>
      </c>
      <c r="G251" s="49">
        <v>19650</v>
      </c>
      <c r="H251" s="49">
        <v>10950</v>
      </c>
      <c r="I251" s="47">
        <v>81</v>
      </c>
      <c r="J251" s="47">
        <v>11</v>
      </c>
      <c r="K251" s="47">
        <v>0</v>
      </c>
    </row>
    <row r="252" spans="2:11" x14ac:dyDescent="0.25">
      <c r="B252" s="47">
        <v>248</v>
      </c>
      <c r="C252" s="47" t="s">
        <v>60</v>
      </c>
      <c r="D252" s="48">
        <v>25302</v>
      </c>
      <c r="E252" s="47">
        <v>12</v>
      </c>
      <c r="F252" s="47">
        <v>1</v>
      </c>
      <c r="G252" s="49">
        <v>22050</v>
      </c>
      <c r="H252" s="49">
        <v>10950</v>
      </c>
      <c r="I252" s="47">
        <v>81</v>
      </c>
      <c r="J252" s="47">
        <v>9</v>
      </c>
      <c r="K252" s="47">
        <v>0</v>
      </c>
    </row>
    <row r="253" spans="2:11" x14ac:dyDescent="0.25">
      <c r="B253" s="47">
        <v>249</v>
      </c>
      <c r="C253" s="47" t="s">
        <v>60</v>
      </c>
      <c r="D253" s="48">
        <v>25332</v>
      </c>
      <c r="E253" s="47">
        <v>12</v>
      </c>
      <c r="F253" s="47">
        <v>1</v>
      </c>
      <c r="G253" s="49">
        <v>25500</v>
      </c>
      <c r="H253" s="49">
        <v>12000</v>
      </c>
      <c r="I253" s="47">
        <v>81</v>
      </c>
      <c r="J253" s="47">
        <v>11</v>
      </c>
      <c r="K253" s="47">
        <v>0</v>
      </c>
    </row>
    <row r="254" spans="2:11" x14ac:dyDescent="0.25">
      <c r="B254" s="47">
        <v>250</v>
      </c>
      <c r="C254" s="47" t="s">
        <v>60</v>
      </c>
      <c r="D254" s="48">
        <v>24390</v>
      </c>
      <c r="E254" s="47">
        <v>15</v>
      </c>
      <c r="F254" s="47">
        <v>1</v>
      </c>
      <c r="G254" s="49">
        <v>28200</v>
      </c>
      <c r="H254" s="49">
        <v>12750</v>
      </c>
      <c r="I254" s="47">
        <v>81</v>
      </c>
      <c r="J254" s="47">
        <v>19</v>
      </c>
      <c r="K254" s="47">
        <v>0</v>
      </c>
    </row>
    <row r="255" spans="2:11" x14ac:dyDescent="0.25">
      <c r="B255" s="47">
        <v>251</v>
      </c>
      <c r="C255" s="47" t="s">
        <v>60</v>
      </c>
      <c r="D255" s="48">
        <v>25222</v>
      </c>
      <c r="E255" s="47">
        <v>12</v>
      </c>
      <c r="F255" s="47">
        <v>1</v>
      </c>
      <c r="G255" s="49">
        <v>23100</v>
      </c>
      <c r="H255" s="49">
        <v>11250</v>
      </c>
      <c r="I255" s="47">
        <v>81</v>
      </c>
      <c r="J255" s="47">
        <v>13</v>
      </c>
      <c r="K255" s="47">
        <v>0</v>
      </c>
    </row>
    <row r="256" spans="2:11" x14ac:dyDescent="0.25">
      <c r="B256" s="47">
        <v>252</v>
      </c>
      <c r="C256" s="47" t="s">
        <v>59</v>
      </c>
      <c r="D256" s="48">
        <v>25464</v>
      </c>
      <c r="E256" s="47">
        <v>12</v>
      </c>
      <c r="F256" s="47">
        <v>1</v>
      </c>
      <c r="G256" s="49">
        <v>25500</v>
      </c>
      <c r="H256" s="49">
        <v>11400</v>
      </c>
      <c r="I256" s="47">
        <v>81</v>
      </c>
      <c r="J256" s="47">
        <v>9</v>
      </c>
      <c r="K256" s="47">
        <v>1</v>
      </c>
    </row>
    <row r="257" spans="2:11" x14ac:dyDescent="0.25">
      <c r="B257" s="47">
        <v>253</v>
      </c>
      <c r="C257" s="47" t="s">
        <v>60</v>
      </c>
      <c r="D257" s="48">
        <v>15393</v>
      </c>
      <c r="E257" s="47">
        <v>8</v>
      </c>
      <c r="F257" s="47">
        <v>1</v>
      </c>
      <c r="G257" s="49">
        <v>17100</v>
      </c>
      <c r="H257" s="49">
        <v>10200</v>
      </c>
      <c r="I257" s="47">
        <v>81</v>
      </c>
      <c r="J257" s="47">
        <v>0</v>
      </c>
      <c r="K257" s="47">
        <v>1</v>
      </c>
    </row>
    <row r="258" spans="2:11" x14ac:dyDescent="0.25">
      <c r="B258" s="47">
        <v>254</v>
      </c>
      <c r="C258" s="47" t="s">
        <v>59</v>
      </c>
      <c r="D258" s="48">
        <v>23415</v>
      </c>
      <c r="E258" s="47">
        <v>18</v>
      </c>
      <c r="F258" s="47">
        <v>3</v>
      </c>
      <c r="G258" s="49">
        <v>68125</v>
      </c>
      <c r="H258" s="49">
        <v>32490</v>
      </c>
      <c r="I258" s="47">
        <v>80</v>
      </c>
      <c r="J258" s="47">
        <v>29</v>
      </c>
      <c r="K258" s="47">
        <v>0</v>
      </c>
    </row>
    <row r="259" spans="2:11" x14ac:dyDescent="0.25">
      <c r="B259" s="47">
        <v>255</v>
      </c>
      <c r="C259" s="47" t="s">
        <v>59</v>
      </c>
      <c r="D259" s="48">
        <v>11916</v>
      </c>
      <c r="E259" s="47">
        <v>12</v>
      </c>
      <c r="F259" s="47">
        <v>2</v>
      </c>
      <c r="G259" s="49">
        <v>30600</v>
      </c>
      <c r="H259" s="49">
        <v>15750</v>
      </c>
      <c r="I259" s="47">
        <v>80</v>
      </c>
      <c r="J259" s="47">
        <v>460</v>
      </c>
      <c r="K259" s="47">
        <v>0</v>
      </c>
    </row>
    <row r="260" spans="2:11" x14ac:dyDescent="0.25">
      <c r="B260" s="47">
        <v>256</v>
      </c>
      <c r="C260" s="47" t="s">
        <v>59</v>
      </c>
      <c r="D260" s="48">
        <v>17535</v>
      </c>
      <c r="E260" s="47">
        <v>19</v>
      </c>
      <c r="F260" s="47">
        <v>3</v>
      </c>
      <c r="G260" s="49">
        <v>52125</v>
      </c>
      <c r="H260" s="49">
        <v>27480</v>
      </c>
      <c r="I260" s="47">
        <v>80</v>
      </c>
      <c r="J260" s="47">
        <v>221</v>
      </c>
      <c r="K260" s="47">
        <v>0</v>
      </c>
    </row>
    <row r="261" spans="2:11" x14ac:dyDescent="0.25">
      <c r="B261" s="47">
        <v>257</v>
      </c>
      <c r="C261" s="47" t="s">
        <v>59</v>
      </c>
      <c r="D261" s="48">
        <v>18895</v>
      </c>
      <c r="E261" s="47">
        <v>19</v>
      </c>
      <c r="F261" s="47">
        <v>3</v>
      </c>
      <c r="G261" s="49">
        <v>61875</v>
      </c>
      <c r="H261" s="49">
        <v>36750</v>
      </c>
      <c r="I261" s="47">
        <v>80</v>
      </c>
      <c r="J261" s="47">
        <v>199</v>
      </c>
      <c r="K261" s="47">
        <v>0</v>
      </c>
    </row>
    <row r="262" spans="2:11" x14ac:dyDescent="0.25">
      <c r="B262" s="47">
        <v>258</v>
      </c>
      <c r="C262" s="47" t="s">
        <v>59</v>
      </c>
      <c r="D262" s="48">
        <v>25271</v>
      </c>
      <c r="E262" s="47">
        <v>8</v>
      </c>
      <c r="F262" s="47">
        <v>1</v>
      </c>
      <c r="G262" s="49">
        <v>21300</v>
      </c>
      <c r="H262" s="49">
        <v>11550</v>
      </c>
      <c r="I262" s="47">
        <v>80</v>
      </c>
      <c r="J262" s="47">
        <v>24</v>
      </c>
      <c r="K262" s="47">
        <v>0</v>
      </c>
    </row>
    <row r="263" spans="2:11" x14ac:dyDescent="0.25">
      <c r="B263" s="47">
        <v>259</v>
      </c>
      <c r="C263" s="47" t="s">
        <v>60</v>
      </c>
      <c r="D263" s="48">
        <v>25277</v>
      </c>
      <c r="E263" s="47">
        <v>12</v>
      </c>
      <c r="F263" s="47">
        <v>1</v>
      </c>
      <c r="G263" s="49">
        <v>19650</v>
      </c>
      <c r="H263" s="49">
        <v>11250</v>
      </c>
      <c r="I263" s="47">
        <v>80</v>
      </c>
      <c r="J263" s="47">
        <v>5</v>
      </c>
      <c r="K263" s="47">
        <v>0</v>
      </c>
    </row>
    <row r="264" spans="2:11" x14ac:dyDescent="0.25">
      <c r="B264" s="47">
        <v>260</v>
      </c>
      <c r="C264" s="47" t="s">
        <v>60</v>
      </c>
      <c r="D264" s="48">
        <v>25254</v>
      </c>
      <c r="E264" s="47">
        <v>12</v>
      </c>
      <c r="F264" s="47">
        <v>1</v>
      </c>
      <c r="G264" s="49">
        <v>22350</v>
      </c>
      <c r="H264" s="49">
        <v>11250</v>
      </c>
      <c r="I264" s="47">
        <v>80</v>
      </c>
      <c r="J264" s="47">
        <v>5</v>
      </c>
      <c r="K264" s="47">
        <v>0</v>
      </c>
    </row>
    <row r="265" spans="2:11" x14ac:dyDescent="0.25">
      <c r="B265" s="47">
        <v>261</v>
      </c>
      <c r="C265" s="47" t="s">
        <v>60</v>
      </c>
      <c r="D265" s="48">
        <v>25289</v>
      </c>
      <c r="E265" s="47">
        <v>12</v>
      </c>
      <c r="F265" s="47">
        <v>1</v>
      </c>
      <c r="G265" s="49">
        <v>23400</v>
      </c>
      <c r="H265" s="49">
        <v>11250</v>
      </c>
      <c r="I265" s="47">
        <v>80</v>
      </c>
      <c r="J265" s="47">
        <v>18</v>
      </c>
      <c r="K265" s="47">
        <v>0</v>
      </c>
    </row>
    <row r="266" spans="2:11" x14ac:dyDescent="0.25">
      <c r="B266" s="47">
        <v>262</v>
      </c>
      <c r="C266" s="47" t="s">
        <v>60</v>
      </c>
      <c r="D266" s="48">
        <v>25009</v>
      </c>
      <c r="E266" s="47">
        <v>12</v>
      </c>
      <c r="F266" s="47">
        <v>1</v>
      </c>
      <c r="G266" s="49">
        <v>24300</v>
      </c>
      <c r="H266" s="49">
        <v>10950</v>
      </c>
      <c r="I266" s="47">
        <v>80</v>
      </c>
      <c r="J266" s="47">
        <v>8</v>
      </c>
      <c r="K266" s="47">
        <v>0</v>
      </c>
    </row>
    <row r="267" spans="2:11" x14ac:dyDescent="0.25">
      <c r="B267" s="47">
        <v>263</v>
      </c>
      <c r="C267" s="47" t="s">
        <v>60</v>
      </c>
      <c r="D267" s="48">
        <v>25124</v>
      </c>
      <c r="E267" s="47">
        <v>12</v>
      </c>
      <c r="F267" s="47">
        <v>1</v>
      </c>
      <c r="G267" s="49">
        <v>28500</v>
      </c>
      <c r="H267" s="49">
        <v>11250</v>
      </c>
      <c r="I267" s="47">
        <v>80</v>
      </c>
      <c r="J267" s="47">
        <v>4</v>
      </c>
      <c r="K267" s="47">
        <v>0</v>
      </c>
    </row>
    <row r="268" spans="2:11" x14ac:dyDescent="0.25">
      <c r="B268" s="47">
        <v>264</v>
      </c>
      <c r="C268" s="47" t="s">
        <v>60</v>
      </c>
      <c r="D268" s="48">
        <v>25219</v>
      </c>
      <c r="E268" s="47">
        <v>12</v>
      </c>
      <c r="F268" s="47">
        <v>1</v>
      </c>
      <c r="G268" s="49">
        <v>19950</v>
      </c>
      <c r="H268" s="49">
        <v>11250</v>
      </c>
      <c r="I268" s="47">
        <v>80</v>
      </c>
      <c r="J268" s="47">
        <v>8</v>
      </c>
      <c r="K268" s="47">
        <v>0</v>
      </c>
    </row>
    <row r="269" spans="2:11" x14ac:dyDescent="0.25">
      <c r="B269" s="47">
        <v>265</v>
      </c>
      <c r="C269" s="47" t="s">
        <v>60</v>
      </c>
      <c r="D269" s="48">
        <v>25470</v>
      </c>
      <c r="E269" s="47">
        <v>12</v>
      </c>
      <c r="F269" s="47">
        <v>1</v>
      </c>
      <c r="G269" s="49">
        <v>23400</v>
      </c>
      <c r="H269" s="49">
        <v>11250</v>
      </c>
      <c r="I269" s="47">
        <v>80</v>
      </c>
      <c r="J269" s="47">
        <v>0</v>
      </c>
      <c r="K269" s="47">
        <v>0</v>
      </c>
    </row>
    <row r="270" spans="2:11" x14ac:dyDescent="0.25">
      <c r="B270" s="47">
        <v>266</v>
      </c>
      <c r="C270" s="47" t="s">
        <v>60</v>
      </c>
      <c r="D270" s="48">
        <v>23291</v>
      </c>
      <c r="E270" s="47">
        <v>16</v>
      </c>
      <c r="F270" s="47">
        <v>1</v>
      </c>
      <c r="G270" s="49">
        <v>34500</v>
      </c>
      <c r="H270" s="49">
        <v>17250</v>
      </c>
      <c r="I270" s="47">
        <v>80</v>
      </c>
      <c r="J270" s="47">
        <v>3</v>
      </c>
      <c r="K270" s="47">
        <v>0</v>
      </c>
    </row>
    <row r="271" spans="2:11" x14ac:dyDescent="0.25">
      <c r="B271" s="47">
        <v>267</v>
      </c>
      <c r="C271" s="47" t="s">
        <v>60</v>
      </c>
      <c r="D271" s="48">
        <v>25439</v>
      </c>
      <c r="E271" s="47">
        <v>12</v>
      </c>
      <c r="F271" s="47">
        <v>1</v>
      </c>
      <c r="G271" s="49">
        <v>18150</v>
      </c>
      <c r="H271" s="49">
        <v>10950</v>
      </c>
      <c r="I271" s="47">
        <v>80</v>
      </c>
      <c r="J271" s="47">
        <v>0</v>
      </c>
      <c r="K271" s="47">
        <v>0</v>
      </c>
    </row>
    <row r="272" spans="2:11" x14ac:dyDescent="0.25">
      <c r="B272" s="47">
        <v>268</v>
      </c>
      <c r="C272" s="47" t="s">
        <v>59</v>
      </c>
      <c r="D272" s="48">
        <v>13286</v>
      </c>
      <c r="E272" s="47">
        <v>12</v>
      </c>
      <c r="F272" s="47">
        <v>1</v>
      </c>
      <c r="G272" s="49">
        <v>22350</v>
      </c>
      <c r="H272" s="49">
        <v>15000</v>
      </c>
      <c r="I272" s="47">
        <v>80</v>
      </c>
      <c r="J272" s="47">
        <v>272</v>
      </c>
      <c r="K272" s="47">
        <v>1</v>
      </c>
    </row>
    <row r="273" spans="2:11" x14ac:dyDescent="0.25">
      <c r="B273" s="47">
        <v>269</v>
      </c>
      <c r="C273" s="47" t="s">
        <v>59</v>
      </c>
      <c r="D273" s="48">
        <v>24183</v>
      </c>
      <c r="E273" s="47">
        <v>15</v>
      </c>
      <c r="F273" s="47">
        <v>1</v>
      </c>
      <c r="G273" s="49">
        <v>40200</v>
      </c>
      <c r="H273" s="49">
        <v>17250</v>
      </c>
      <c r="I273" s="47">
        <v>79</v>
      </c>
      <c r="J273" s="47">
        <v>38</v>
      </c>
      <c r="K273" s="47">
        <v>0</v>
      </c>
    </row>
    <row r="274" spans="2:11" x14ac:dyDescent="0.25">
      <c r="B274" s="47">
        <v>270</v>
      </c>
      <c r="C274" s="47" t="s">
        <v>59</v>
      </c>
      <c r="D274" s="48">
        <v>17469</v>
      </c>
      <c r="E274" s="47">
        <v>15</v>
      </c>
      <c r="F274" s="47">
        <v>1</v>
      </c>
      <c r="G274" s="49">
        <v>28650</v>
      </c>
      <c r="H274" s="49">
        <v>18000</v>
      </c>
      <c r="I274" s="47">
        <v>79</v>
      </c>
      <c r="J274" s="47">
        <v>261</v>
      </c>
      <c r="K274" s="47">
        <v>0</v>
      </c>
    </row>
    <row r="275" spans="2:11" x14ac:dyDescent="0.25">
      <c r="B275" s="47">
        <v>271</v>
      </c>
      <c r="C275" s="47" t="s">
        <v>59</v>
      </c>
      <c r="D275" s="48">
        <v>23247</v>
      </c>
      <c r="E275" s="47">
        <v>15</v>
      </c>
      <c r="F275" s="47">
        <v>1</v>
      </c>
      <c r="G275" s="49">
        <v>27750</v>
      </c>
      <c r="H275" s="49">
        <v>16500</v>
      </c>
      <c r="I275" s="47">
        <v>79</v>
      </c>
      <c r="J275" s="47">
        <v>55</v>
      </c>
      <c r="K275" s="47">
        <v>0</v>
      </c>
    </row>
    <row r="276" spans="2:11" x14ac:dyDescent="0.25">
      <c r="B276" s="47">
        <v>272</v>
      </c>
      <c r="C276" s="47" t="s">
        <v>59</v>
      </c>
      <c r="D276" s="48">
        <v>23545</v>
      </c>
      <c r="E276" s="47">
        <v>18</v>
      </c>
      <c r="F276" s="47">
        <v>1</v>
      </c>
      <c r="G276" s="49">
        <v>66875</v>
      </c>
      <c r="H276" s="49">
        <v>31980</v>
      </c>
      <c r="I276" s="47">
        <v>79</v>
      </c>
      <c r="J276" s="47">
        <v>30</v>
      </c>
      <c r="K276" s="47">
        <v>0</v>
      </c>
    </row>
    <row r="277" spans="2:11" x14ac:dyDescent="0.25">
      <c r="B277" s="47">
        <v>273</v>
      </c>
      <c r="C277" s="47" t="s">
        <v>59</v>
      </c>
      <c r="D277" s="48">
        <v>14561</v>
      </c>
      <c r="E277" s="47">
        <v>12</v>
      </c>
      <c r="F277" s="47">
        <v>2</v>
      </c>
      <c r="G277" s="49">
        <v>30000</v>
      </c>
      <c r="H277" s="49">
        <v>15750</v>
      </c>
      <c r="I277" s="47">
        <v>79</v>
      </c>
      <c r="J277" s="47">
        <v>308</v>
      </c>
      <c r="K277" s="47">
        <v>0</v>
      </c>
    </row>
    <row r="278" spans="2:11" x14ac:dyDescent="0.25">
      <c r="B278" s="47">
        <v>100</v>
      </c>
      <c r="C278" s="47" t="s">
        <v>59</v>
      </c>
      <c r="D278" s="48">
        <v>23309</v>
      </c>
      <c r="E278" s="47">
        <v>18</v>
      </c>
      <c r="F278" s="47">
        <v>3</v>
      </c>
      <c r="G278" s="49">
        <v>78250</v>
      </c>
      <c r="H278" s="49">
        <v>27480</v>
      </c>
      <c r="I278" s="47">
        <v>91</v>
      </c>
      <c r="J278" s="47">
        <v>47</v>
      </c>
      <c r="K278" s="47">
        <v>0</v>
      </c>
    </row>
    <row r="279" spans="2:11" x14ac:dyDescent="0.25">
      <c r="B279" s="47">
        <v>275</v>
      </c>
      <c r="C279" s="47" t="s">
        <v>59</v>
      </c>
      <c r="D279" s="48">
        <v>23025</v>
      </c>
      <c r="E279" s="47">
        <v>12</v>
      </c>
      <c r="F279" s="47">
        <v>1</v>
      </c>
      <c r="G279" s="49">
        <v>33900</v>
      </c>
      <c r="H279" s="49">
        <v>16500</v>
      </c>
      <c r="I279" s="47">
        <v>79</v>
      </c>
      <c r="J279" s="47">
        <v>94</v>
      </c>
      <c r="K279" s="47">
        <v>0</v>
      </c>
    </row>
    <row r="280" spans="2:11" x14ac:dyDescent="0.25">
      <c r="B280" s="47">
        <v>276</v>
      </c>
      <c r="C280" s="47" t="s">
        <v>59</v>
      </c>
      <c r="D280" s="48">
        <v>23873</v>
      </c>
      <c r="E280" s="47">
        <v>16</v>
      </c>
      <c r="F280" s="47">
        <v>3</v>
      </c>
      <c r="G280" s="49">
        <v>56500</v>
      </c>
      <c r="H280" s="49">
        <v>21000</v>
      </c>
      <c r="I280" s="47">
        <v>79</v>
      </c>
      <c r="J280" s="47">
        <v>12</v>
      </c>
      <c r="K280" s="47">
        <v>0</v>
      </c>
    </row>
    <row r="281" spans="2:11" x14ac:dyDescent="0.25">
      <c r="B281" s="47">
        <v>277</v>
      </c>
      <c r="C281" s="47" t="s">
        <v>60</v>
      </c>
      <c r="D281" s="48">
        <v>23882</v>
      </c>
      <c r="E281" s="47">
        <v>16</v>
      </c>
      <c r="F281" s="47">
        <v>3</v>
      </c>
      <c r="G281" s="49">
        <v>43000</v>
      </c>
      <c r="H281" s="49">
        <v>17490</v>
      </c>
      <c r="I281" s="47">
        <v>79</v>
      </c>
      <c r="J281" s="47">
        <v>20</v>
      </c>
      <c r="K281" s="47">
        <v>0</v>
      </c>
    </row>
    <row r="282" spans="2:11" x14ac:dyDescent="0.25">
      <c r="B282" s="47">
        <v>278</v>
      </c>
      <c r="C282" s="47" t="s">
        <v>60</v>
      </c>
      <c r="D282" s="48">
        <v>15869</v>
      </c>
      <c r="E282" s="47">
        <v>8</v>
      </c>
      <c r="F282" s="47">
        <v>1</v>
      </c>
      <c r="G282" s="49">
        <v>20850</v>
      </c>
      <c r="H282" s="49">
        <v>12000</v>
      </c>
      <c r="I282" s="47">
        <v>79</v>
      </c>
      <c r="J282" s="47">
        <v>70</v>
      </c>
      <c r="K282" s="47">
        <v>0</v>
      </c>
    </row>
    <row r="283" spans="2:11" x14ac:dyDescent="0.25">
      <c r="B283" s="47">
        <v>279</v>
      </c>
      <c r="C283" s="47" t="s">
        <v>60</v>
      </c>
      <c r="D283" s="48">
        <v>25309</v>
      </c>
      <c r="E283" s="47">
        <v>12</v>
      </c>
      <c r="F283" s="47">
        <v>1</v>
      </c>
      <c r="G283" s="49">
        <v>24450</v>
      </c>
      <c r="H283" s="49">
        <v>12000</v>
      </c>
      <c r="I283" s="47">
        <v>79</v>
      </c>
      <c r="J283" s="47">
        <v>8</v>
      </c>
      <c r="K283" s="47">
        <v>0</v>
      </c>
    </row>
    <row r="284" spans="2:11" x14ac:dyDescent="0.25">
      <c r="B284" s="47">
        <v>280</v>
      </c>
      <c r="C284" s="47" t="s">
        <v>60</v>
      </c>
      <c r="D284" s="48">
        <v>25496</v>
      </c>
      <c r="E284" s="47">
        <v>12</v>
      </c>
      <c r="F284" s="47">
        <v>1</v>
      </c>
      <c r="G284" s="49">
        <v>24750</v>
      </c>
      <c r="H284" s="49">
        <v>10950</v>
      </c>
      <c r="I284" s="47">
        <v>79</v>
      </c>
      <c r="J284" s="47">
        <v>5</v>
      </c>
      <c r="K284" s="47">
        <v>0</v>
      </c>
    </row>
    <row r="285" spans="2:11" x14ac:dyDescent="0.25">
      <c r="B285" s="47">
        <v>281</v>
      </c>
      <c r="C285" s="47" t="s">
        <v>59</v>
      </c>
      <c r="D285" s="48">
        <v>16486</v>
      </c>
      <c r="E285" s="47">
        <v>8</v>
      </c>
      <c r="F285" s="47">
        <v>2</v>
      </c>
      <c r="G285" s="49">
        <v>34500</v>
      </c>
      <c r="H285" s="49">
        <v>15750</v>
      </c>
      <c r="I285" s="47">
        <v>79</v>
      </c>
      <c r="J285" s="47">
        <v>246</v>
      </c>
      <c r="K285" s="47">
        <v>1</v>
      </c>
    </row>
    <row r="286" spans="2:11" x14ac:dyDescent="0.25">
      <c r="B286" s="47">
        <v>282</v>
      </c>
      <c r="C286" s="47" t="s">
        <v>59</v>
      </c>
      <c r="D286" s="48">
        <v>23269</v>
      </c>
      <c r="E286" s="47">
        <v>14</v>
      </c>
      <c r="F286" s="47">
        <v>1</v>
      </c>
      <c r="G286" s="49">
        <v>27900</v>
      </c>
      <c r="H286" s="49">
        <v>15000</v>
      </c>
      <c r="I286" s="47">
        <v>79</v>
      </c>
      <c r="J286" s="47">
        <v>47</v>
      </c>
      <c r="K286" s="47">
        <v>1</v>
      </c>
    </row>
    <row r="287" spans="2:11" x14ac:dyDescent="0.25">
      <c r="B287" s="47">
        <v>283</v>
      </c>
      <c r="C287" s="47" t="s">
        <v>59</v>
      </c>
      <c r="D287" s="48">
        <v>23067</v>
      </c>
      <c r="E287" s="47">
        <v>19</v>
      </c>
      <c r="F287" s="47">
        <v>3</v>
      </c>
      <c r="G287" s="49">
        <v>68125</v>
      </c>
      <c r="H287" s="49">
        <v>32010</v>
      </c>
      <c r="I287" s="47">
        <v>78</v>
      </c>
      <c r="J287" s="47">
        <v>35</v>
      </c>
      <c r="K287" s="47">
        <v>0</v>
      </c>
    </row>
    <row r="288" spans="2:11" x14ac:dyDescent="0.25">
      <c r="B288" s="47">
        <v>66</v>
      </c>
      <c r="C288" s="47" t="s">
        <v>59</v>
      </c>
      <c r="D288" s="48">
        <v>22693</v>
      </c>
      <c r="E288" s="47">
        <v>19</v>
      </c>
      <c r="F288" s="47">
        <v>3</v>
      </c>
      <c r="G288" s="49">
        <v>78125</v>
      </c>
      <c r="H288" s="49">
        <v>30000</v>
      </c>
      <c r="I288" s="47">
        <v>93</v>
      </c>
      <c r="J288" s="47">
        <v>7</v>
      </c>
      <c r="K288" s="47">
        <v>0</v>
      </c>
    </row>
    <row r="289" spans="2:11" x14ac:dyDescent="0.25">
      <c r="B289" s="47">
        <v>285</v>
      </c>
      <c r="C289" s="47" t="s">
        <v>59</v>
      </c>
      <c r="D289" s="48">
        <v>11106</v>
      </c>
      <c r="E289" s="47">
        <v>8</v>
      </c>
      <c r="F289" s="47">
        <v>2</v>
      </c>
      <c r="G289" s="49">
        <v>30750</v>
      </c>
      <c r="H289" s="49">
        <v>15750</v>
      </c>
      <c r="I289" s="47">
        <v>78</v>
      </c>
      <c r="J289" s="47">
        <v>429</v>
      </c>
      <c r="K289" s="47">
        <v>0</v>
      </c>
    </row>
    <row r="290" spans="2:11" x14ac:dyDescent="0.25">
      <c r="B290" s="47">
        <v>286</v>
      </c>
      <c r="C290" s="47" t="s">
        <v>59</v>
      </c>
      <c r="D290" s="48">
        <v>21251</v>
      </c>
      <c r="E290" s="47">
        <v>15</v>
      </c>
      <c r="F290" s="47">
        <v>3</v>
      </c>
      <c r="G290" s="49">
        <v>40050</v>
      </c>
      <c r="H290" s="49">
        <v>25500</v>
      </c>
      <c r="I290" s="47">
        <v>78</v>
      </c>
      <c r="J290" s="47">
        <v>133</v>
      </c>
      <c r="K290" s="47">
        <v>0</v>
      </c>
    </row>
    <row r="291" spans="2:11" x14ac:dyDescent="0.25">
      <c r="B291" s="47">
        <v>287</v>
      </c>
      <c r="C291" s="47" t="s">
        <v>59</v>
      </c>
      <c r="D291" s="48">
        <v>23760</v>
      </c>
      <c r="E291" s="47">
        <v>16</v>
      </c>
      <c r="F291" s="47">
        <v>1</v>
      </c>
      <c r="G291" s="49">
        <v>40350</v>
      </c>
      <c r="H291" s="49">
        <v>19500</v>
      </c>
      <c r="I291" s="47">
        <v>78</v>
      </c>
      <c r="J291" s="47">
        <v>20</v>
      </c>
      <c r="K291" s="47">
        <v>0</v>
      </c>
    </row>
    <row r="292" spans="2:11" x14ac:dyDescent="0.25">
      <c r="B292" s="47">
        <v>288</v>
      </c>
      <c r="C292" s="47" t="s">
        <v>59</v>
      </c>
      <c r="D292" s="48">
        <v>20111</v>
      </c>
      <c r="E292" s="47">
        <v>15</v>
      </c>
      <c r="F292" s="47">
        <v>3</v>
      </c>
      <c r="G292" s="49">
        <v>38700</v>
      </c>
      <c r="H292" s="49">
        <v>23730</v>
      </c>
      <c r="I292" s="47">
        <v>78</v>
      </c>
      <c r="J292" s="47">
        <v>176</v>
      </c>
      <c r="K292" s="47">
        <v>0</v>
      </c>
    </row>
    <row r="293" spans="2:11" x14ac:dyDescent="0.25">
      <c r="B293" s="47">
        <v>289</v>
      </c>
      <c r="C293" s="47" t="s">
        <v>59</v>
      </c>
      <c r="D293" s="48">
        <v>23677</v>
      </c>
      <c r="E293" s="47">
        <v>17</v>
      </c>
      <c r="F293" s="47">
        <v>3</v>
      </c>
      <c r="G293" s="49">
        <v>65000</v>
      </c>
      <c r="H293" s="49">
        <v>30750</v>
      </c>
      <c r="I293" s="47">
        <v>78</v>
      </c>
      <c r="J293" s="47">
        <v>26</v>
      </c>
      <c r="K293" s="47">
        <v>0</v>
      </c>
    </row>
    <row r="294" spans="2:11" x14ac:dyDescent="0.25">
      <c r="B294" s="47">
        <v>290</v>
      </c>
      <c r="C294" s="47" t="s">
        <v>59</v>
      </c>
      <c r="D294" s="48">
        <v>19819</v>
      </c>
      <c r="E294" s="47">
        <v>18</v>
      </c>
      <c r="F294" s="47">
        <v>3</v>
      </c>
      <c r="G294" s="49">
        <v>51450</v>
      </c>
      <c r="H294" s="49">
        <v>36240</v>
      </c>
      <c r="I294" s="47">
        <v>78</v>
      </c>
      <c r="J294" s="47">
        <v>149</v>
      </c>
      <c r="K294" s="47">
        <v>0</v>
      </c>
    </row>
    <row r="295" spans="2:11" x14ac:dyDescent="0.25">
      <c r="B295" s="47">
        <v>291</v>
      </c>
      <c r="C295" s="47" t="s">
        <v>59</v>
      </c>
      <c r="D295" s="48">
        <v>12685</v>
      </c>
      <c r="E295" s="47">
        <v>12</v>
      </c>
      <c r="F295" s="47">
        <v>2</v>
      </c>
      <c r="G295" s="49">
        <v>35250</v>
      </c>
      <c r="H295" s="49">
        <v>15750</v>
      </c>
      <c r="I295" s="47">
        <v>78</v>
      </c>
      <c r="J295" s="47">
        <v>387</v>
      </c>
      <c r="K295" s="47">
        <v>0</v>
      </c>
    </row>
    <row r="296" spans="2:11" x14ac:dyDescent="0.25">
      <c r="B296" s="47">
        <v>292</v>
      </c>
      <c r="C296" s="47" t="s">
        <v>59</v>
      </c>
      <c r="D296" s="48">
        <v>23138</v>
      </c>
      <c r="E296" s="47">
        <v>14</v>
      </c>
      <c r="F296" s="47">
        <v>1</v>
      </c>
      <c r="G296" s="49">
        <v>25950</v>
      </c>
      <c r="H296" s="49">
        <v>15000</v>
      </c>
      <c r="I296" s="47">
        <v>78</v>
      </c>
      <c r="J296" s="47">
        <v>53</v>
      </c>
      <c r="K296" s="47">
        <v>0</v>
      </c>
    </row>
    <row r="297" spans="2:11" x14ac:dyDescent="0.25">
      <c r="B297" s="47">
        <v>293</v>
      </c>
      <c r="C297" s="47" t="s">
        <v>59</v>
      </c>
      <c r="D297" s="48">
        <v>24004</v>
      </c>
      <c r="E297" s="47">
        <v>15</v>
      </c>
      <c r="F297" s="47">
        <v>1</v>
      </c>
      <c r="G297" s="49">
        <v>25050</v>
      </c>
      <c r="H297" s="49">
        <v>14250</v>
      </c>
      <c r="I297" s="47">
        <v>78</v>
      </c>
      <c r="J297" s="47">
        <v>24</v>
      </c>
      <c r="K297" s="47">
        <v>0</v>
      </c>
    </row>
    <row r="298" spans="2:11" x14ac:dyDescent="0.25">
      <c r="B298" s="47">
        <v>294</v>
      </c>
      <c r="C298" s="47" t="s">
        <v>59</v>
      </c>
      <c r="D298" s="48">
        <v>25121</v>
      </c>
      <c r="E298" s="47">
        <v>12</v>
      </c>
      <c r="F298" s="47">
        <v>1</v>
      </c>
      <c r="G298" s="49">
        <v>26700</v>
      </c>
      <c r="H298" s="49">
        <v>12750</v>
      </c>
      <c r="I298" s="47">
        <v>78</v>
      </c>
      <c r="J298" s="47">
        <v>25</v>
      </c>
      <c r="K298" s="47">
        <v>0</v>
      </c>
    </row>
    <row r="299" spans="2:11" x14ac:dyDescent="0.25">
      <c r="B299" s="47">
        <v>295</v>
      </c>
      <c r="C299" s="47" t="s">
        <v>59</v>
      </c>
      <c r="D299" s="48">
        <v>11921</v>
      </c>
      <c r="E299" s="47">
        <v>8</v>
      </c>
      <c r="F299" s="47">
        <v>1</v>
      </c>
      <c r="G299" s="49">
        <v>24000</v>
      </c>
      <c r="H299" s="49">
        <v>15750</v>
      </c>
      <c r="I299" s="47">
        <v>78</v>
      </c>
      <c r="J299" s="47">
        <v>476</v>
      </c>
      <c r="K299" s="47">
        <v>0</v>
      </c>
    </row>
    <row r="300" spans="2:11" x14ac:dyDescent="0.25">
      <c r="B300" s="47">
        <v>296</v>
      </c>
      <c r="C300" s="47" t="s">
        <v>59</v>
      </c>
      <c r="D300" s="48">
        <v>23419</v>
      </c>
      <c r="E300" s="47">
        <v>12</v>
      </c>
      <c r="F300" s="47">
        <v>1</v>
      </c>
      <c r="G300" s="49">
        <v>26850</v>
      </c>
      <c r="H300" s="49">
        <v>15000</v>
      </c>
      <c r="I300" s="47">
        <v>78</v>
      </c>
      <c r="J300" s="47">
        <v>48</v>
      </c>
      <c r="K300" s="47">
        <v>0</v>
      </c>
    </row>
    <row r="301" spans="2:11" x14ac:dyDescent="0.25">
      <c r="B301" s="47">
        <v>297</v>
      </c>
      <c r="C301" s="47" t="s">
        <v>60</v>
      </c>
      <c r="D301" s="48">
        <v>15447</v>
      </c>
      <c r="E301" s="47">
        <v>12</v>
      </c>
      <c r="F301" s="47">
        <v>1</v>
      </c>
      <c r="G301" s="49">
        <v>23400</v>
      </c>
      <c r="H301" s="49">
        <v>15300</v>
      </c>
      <c r="I301" s="47">
        <v>78</v>
      </c>
      <c r="J301" s="47">
        <v>209</v>
      </c>
      <c r="K301" s="47">
        <v>0</v>
      </c>
    </row>
    <row r="302" spans="2:11" x14ac:dyDescent="0.25">
      <c r="B302" s="47">
        <v>298</v>
      </c>
      <c r="C302" s="47" t="s">
        <v>60</v>
      </c>
      <c r="D302" s="48">
        <v>24343</v>
      </c>
      <c r="E302" s="47">
        <v>12</v>
      </c>
      <c r="F302" s="47">
        <v>1</v>
      </c>
      <c r="G302" s="49">
        <v>24600</v>
      </c>
      <c r="H302" s="49">
        <v>13500</v>
      </c>
      <c r="I302" s="47">
        <v>78</v>
      </c>
      <c r="J302" s="47">
        <v>47</v>
      </c>
      <c r="K302" s="47">
        <v>0</v>
      </c>
    </row>
    <row r="303" spans="2:11" x14ac:dyDescent="0.25">
      <c r="B303" s="47">
        <v>299</v>
      </c>
      <c r="C303" s="47" t="s">
        <v>60</v>
      </c>
      <c r="D303" s="48">
        <v>23873</v>
      </c>
      <c r="E303" s="47">
        <v>15</v>
      </c>
      <c r="F303" s="47">
        <v>1</v>
      </c>
      <c r="G303" s="49">
        <v>32550</v>
      </c>
      <c r="H303" s="49">
        <v>18000</v>
      </c>
      <c r="I303" s="47">
        <v>78</v>
      </c>
      <c r="J303" s="47">
        <v>6</v>
      </c>
      <c r="K303" s="47">
        <v>0</v>
      </c>
    </row>
    <row r="304" spans="2:11" x14ac:dyDescent="0.25">
      <c r="B304" s="47">
        <v>300</v>
      </c>
      <c r="C304" s="47" t="s">
        <v>59</v>
      </c>
      <c r="D304" s="48">
        <v>22062</v>
      </c>
      <c r="E304" s="47">
        <v>16</v>
      </c>
      <c r="F304" s="47">
        <v>1</v>
      </c>
      <c r="G304" s="49">
        <v>26550</v>
      </c>
      <c r="H304" s="49">
        <v>15000</v>
      </c>
      <c r="I304" s="47">
        <v>78</v>
      </c>
      <c r="J304" s="47">
        <v>105</v>
      </c>
      <c r="K304" s="47">
        <v>1</v>
      </c>
    </row>
    <row r="305" spans="2:11" x14ac:dyDescent="0.25">
      <c r="B305" s="47">
        <v>301</v>
      </c>
      <c r="C305" s="47" t="s">
        <v>59</v>
      </c>
      <c r="D305" s="48">
        <v>25054</v>
      </c>
      <c r="E305" s="47">
        <v>12</v>
      </c>
      <c r="F305" s="47">
        <v>1</v>
      </c>
      <c r="G305" s="49">
        <v>31500</v>
      </c>
      <c r="H305" s="49">
        <v>13500</v>
      </c>
      <c r="I305" s="47">
        <v>78</v>
      </c>
      <c r="J305" s="47">
        <v>7</v>
      </c>
      <c r="K305" s="47">
        <v>1</v>
      </c>
    </row>
    <row r="306" spans="2:11" x14ac:dyDescent="0.25">
      <c r="B306" s="47">
        <v>302</v>
      </c>
      <c r="C306" s="47" t="s">
        <v>59</v>
      </c>
      <c r="D306" s="48">
        <v>14516</v>
      </c>
      <c r="E306" s="47">
        <v>8</v>
      </c>
      <c r="F306" s="47">
        <v>1</v>
      </c>
      <c r="G306" s="49">
        <v>22350</v>
      </c>
      <c r="H306" s="49">
        <v>15000</v>
      </c>
      <c r="I306" s="47">
        <v>78</v>
      </c>
      <c r="J306" s="47">
        <v>320</v>
      </c>
      <c r="K306" s="47">
        <v>1</v>
      </c>
    </row>
    <row r="307" spans="2:11" x14ac:dyDescent="0.25">
      <c r="B307" s="47">
        <v>303</v>
      </c>
      <c r="C307" s="47" t="s">
        <v>59</v>
      </c>
      <c r="D307" s="48">
        <v>13921</v>
      </c>
      <c r="E307" s="47">
        <v>12</v>
      </c>
      <c r="F307" s="47">
        <v>2</v>
      </c>
      <c r="G307" s="49">
        <v>35250</v>
      </c>
      <c r="H307" s="49">
        <v>15750</v>
      </c>
      <c r="I307" s="47">
        <v>78</v>
      </c>
      <c r="J307" s="47">
        <v>281</v>
      </c>
      <c r="K307" s="47">
        <v>1</v>
      </c>
    </row>
    <row r="308" spans="2:11" x14ac:dyDescent="0.25">
      <c r="B308" s="47">
        <v>304</v>
      </c>
      <c r="C308" s="47" t="s">
        <v>60</v>
      </c>
      <c r="D308" s="48">
        <v>16708</v>
      </c>
      <c r="E308" s="47">
        <v>15</v>
      </c>
      <c r="F308" s="47">
        <v>1</v>
      </c>
      <c r="G308" s="49">
        <v>25800</v>
      </c>
      <c r="H308" s="49">
        <v>13500</v>
      </c>
      <c r="I308" s="47">
        <v>78</v>
      </c>
      <c r="J308" s="47">
        <v>51</v>
      </c>
      <c r="K308" s="47">
        <v>1</v>
      </c>
    </row>
    <row r="309" spans="2:11" x14ac:dyDescent="0.25">
      <c r="B309" s="47">
        <v>305</v>
      </c>
      <c r="C309" s="47" t="s">
        <v>59</v>
      </c>
      <c r="D309" s="48">
        <v>15274</v>
      </c>
      <c r="E309" s="47">
        <v>12</v>
      </c>
      <c r="F309" s="47">
        <v>2</v>
      </c>
      <c r="G309" s="49">
        <v>30750</v>
      </c>
      <c r="H309" s="49">
        <v>15750</v>
      </c>
      <c r="I309" s="47">
        <v>77</v>
      </c>
      <c r="J309" s="47">
        <v>317</v>
      </c>
      <c r="K309" s="47">
        <v>0</v>
      </c>
    </row>
    <row r="310" spans="2:11" x14ac:dyDescent="0.25">
      <c r="B310" s="47">
        <v>306</v>
      </c>
      <c r="C310" s="47" t="s">
        <v>59</v>
      </c>
      <c r="D310" s="48">
        <v>24202</v>
      </c>
      <c r="E310" s="47">
        <v>15</v>
      </c>
      <c r="F310" s="47">
        <v>1</v>
      </c>
      <c r="G310" s="49">
        <v>30750</v>
      </c>
      <c r="H310" s="49">
        <v>16500</v>
      </c>
      <c r="I310" s="47">
        <v>77</v>
      </c>
      <c r="J310" s="47">
        <v>41</v>
      </c>
      <c r="K310" s="47">
        <v>0</v>
      </c>
    </row>
    <row r="311" spans="2:11" x14ac:dyDescent="0.25">
      <c r="B311" s="47">
        <v>307</v>
      </c>
      <c r="C311" s="47" t="s">
        <v>59</v>
      </c>
      <c r="D311" s="48">
        <v>16642</v>
      </c>
      <c r="E311" s="47">
        <v>16</v>
      </c>
      <c r="F311" s="47">
        <v>3</v>
      </c>
      <c r="G311" s="49">
        <v>50000</v>
      </c>
      <c r="H311" s="49">
        <v>32490</v>
      </c>
      <c r="I311" s="47">
        <v>77</v>
      </c>
      <c r="J311" s="47">
        <v>264</v>
      </c>
      <c r="K311" s="47">
        <v>0</v>
      </c>
    </row>
    <row r="312" spans="2:11" x14ac:dyDescent="0.25">
      <c r="B312" s="47">
        <v>308</v>
      </c>
      <c r="C312" s="47" t="s">
        <v>59</v>
      </c>
      <c r="D312" s="48">
        <v>23043</v>
      </c>
      <c r="E312" s="47">
        <v>15</v>
      </c>
      <c r="F312" s="47">
        <v>1</v>
      </c>
      <c r="G312" s="49">
        <v>34500</v>
      </c>
      <c r="H312" s="49">
        <v>18000</v>
      </c>
      <c r="I312" s="47">
        <v>77</v>
      </c>
      <c r="J312" s="47">
        <v>63</v>
      </c>
      <c r="K312" s="47">
        <v>0</v>
      </c>
    </row>
    <row r="313" spans="2:11" x14ac:dyDescent="0.25">
      <c r="B313" s="47">
        <v>309</v>
      </c>
      <c r="C313" s="47" t="s">
        <v>59</v>
      </c>
      <c r="D313" s="48">
        <v>23577</v>
      </c>
      <c r="E313" s="47">
        <v>15</v>
      </c>
      <c r="F313" s="47">
        <v>1</v>
      </c>
      <c r="G313" s="49">
        <v>26250</v>
      </c>
      <c r="H313" s="49">
        <v>15750</v>
      </c>
      <c r="I313" s="47">
        <v>77</v>
      </c>
      <c r="J313" s="47">
        <v>38</v>
      </c>
      <c r="K313" s="47">
        <v>0</v>
      </c>
    </row>
    <row r="314" spans="2:11" x14ac:dyDescent="0.25">
      <c r="B314" s="47">
        <v>310</v>
      </c>
      <c r="C314" s="47" t="s">
        <v>59</v>
      </c>
      <c r="D314" s="48">
        <v>23459</v>
      </c>
      <c r="E314" s="47">
        <v>16</v>
      </c>
      <c r="F314" s="47">
        <v>1</v>
      </c>
      <c r="G314" s="49">
        <v>44875</v>
      </c>
      <c r="H314" s="49">
        <v>21240</v>
      </c>
      <c r="I314" s="47">
        <v>77</v>
      </c>
      <c r="J314" s="47">
        <v>22</v>
      </c>
      <c r="K314" s="47">
        <v>0</v>
      </c>
    </row>
    <row r="315" spans="2:11" x14ac:dyDescent="0.25">
      <c r="B315" s="47">
        <v>311</v>
      </c>
      <c r="C315" s="47" t="s">
        <v>60</v>
      </c>
      <c r="D315" s="48">
        <v>18674</v>
      </c>
      <c r="E315" s="47">
        <v>12</v>
      </c>
      <c r="F315" s="47">
        <v>1</v>
      </c>
      <c r="G315" s="49">
        <v>22500</v>
      </c>
      <c r="H315" s="49">
        <v>12000</v>
      </c>
      <c r="I315" s="47">
        <v>77</v>
      </c>
      <c r="J315" s="47">
        <v>63</v>
      </c>
      <c r="K315" s="47">
        <v>0</v>
      </c>
    </row>
    <row r="316" spans="2:11" x14ac:dyDescent="0.25">
      <c r="B316" s="47">
        <v>312</v>
      </c>
      <c r="C316" s="47" t="s">
        <v>60</v>
      </c>
      <c r="D316" s="48">
        <v>23082</v>
      </c>
      <c r="E316" s="47">
        <v>12</v>
      </c>
      <c r="F316" s="47">
        <v>1</v>
      </c>
      <c r="G316" s="49">
        <v>25650</v>
      </c>
      <c r="H316" s="49">
        <v>14250</v>
      </c>
      <c r="I316" s="47">
        <v>77</v>
      </c>
      <c r="J316" s="47">
        <v>64</v>
      </c>
      <c r="K316" s="47">
        <v>0</v>
      </c>
    </row>
    <row r="317" spans="2:11" x14ac:dyDescent="0.25">
      <c r="B317" s="47">
        <v>313</v>
      </c>
      <c r="C317" s="47" t="s">
        <v>60</v>
      </c>
      <c r="D317" s="48">
        <v>25501</v>
      </c>
      <c r="E317" s="47">
        <v>12</v>
      </c>
      <c r="F317" s="47">
        <v>1</v>
      </c>
      <c r="G317" s="49">
        <v>21300</v>
      </c>
      <c r="H317" s="49">
        <v>11250</v>
      </c>
      <c r="I317" s="47">
        <v>77</v>
      </c>
      <c r="J317" s="47">
        <v>0</v>
      </c>
      <c r="K317" s="47">
        <v>0</v>
      </c>
    </row>
    <row r="318" spans="2:11" x14ac:dyDescent="0.25">
      <c r="B318" s="47">
        <v>314</v>
      </c>
      <c r="C318" s="47" t="s">
        <v>60</v>
      </c>
      <c r="D318" s="48">
        <v>24435</v>
      </c>
      <c r="E318" s="47">
        <v>12</v>
      </c>
      <c r="F318" s="47">
        <v>1</v>
      </c>
      <c r="G318" s="49">
        <v>29850</v>
      </c>
      <c r="H318" s="49">
        <v>13500</v>
      </c>
      <c r="I318" s="47">
        <v>77</v>
      </c>
      <c r="J318" s="47">
        <v>38</v>
      </c>
      <c r="K318" s="47">
        <v>0</v>
      </c>
    </row>
    <row r="319" spans="2:11" x14ac:dyDescent="0.25">
      <c r="B319" s="47">
        <v>315</v>
      </c>
      <c r="C319" s="47" t="s">
        <v>60</v>
      </c>
      <c r="D319" s="48">
        <v>25465</v>
      </c>
      <c r="E319" s="47">
        <v>12</v>
      </c>
      <c r="F319" s="47">
        <v>1</v>
      </c>
      <c r="G319" s="49">
        <v>34500</v>
      </c>
      <c r="H319" s="49">
        <v>12150</v>
      </c>
      <c r="I319" s="47">
        <v>77</v>
      </c>
      <c r="J319" s="47">
        <v>4</v>
      </c>
      <c r="K319" s="47">
        <v>0</v>
      </c>
    </row>
    <row r="320" spans="2:11" x14ac:dyDescent="0.25">
      <c r="B320" s="47">
        <v>316</v>
      </c>
      <c r="C320" s="47" t="s">
        <v>59</v>
      </c>
      <c r="D320" s="48">
        <v>21929</v>
      </c>
      <c r="E320" s="47">
        <v>15</v>
      </c>
      <c r="F320" s="47">
        <v>1</v>
      </c>
      <c r="G320" s="49">
        <v>27750</v>
      </c>
      <c r="H320" s="49">
        <v>15000</v>
      </c>
      <c r="I320" s="47">
        <v>77</v>
      </c>
      <c r="J320" s="47">
        <v>52</v>
      </c>
      <c r="K320" s="47">
        <v>1</v>
      </c>
    </row>
    <row r="321" spans="2:11" x14ac:dyDescent="0.25">
      <c r="B321" s="47">
        <v>317</v>
      </c>
      <c r="C321" s="47" t="s">
        <v>59</v>
      </c>
      <c r="D321" s="48">
        <v>25261</v>
      </c>
      <c r="E321" s="47">
        <v>12</v>
      </c>
      <c r="F321" s="47">
        <v>1</v>
      </c>
      <c r="G321" s="49">
        <v>27750</v>
      </c>
      <c r="H321" s="49">
        <v>11550</v>
      </c>
      <c r="I321" s="47">
        <v>77</v>
      </c>
      <c r="J321" s="47">
        <v>12</v>
      </c>
      <c r="K321" s="47">
        <v>1</v>
      </c>
    </row>
    <row r="322" spans="2:11" x14ac:dyDescent="0.25">
      <c r="B322" s="47">
        <v>318</v>
      </c>
      <c r="C322" s="47" t="s">
        <v>59</v>
      </c>
      <c r="D322" s="48">
        <v>22331</v>
      </c>
      <c r="E322" s="47">
        <v>16</v>
      </c>
      <c r="F322" s="47">
        <v>3</v>
      </c>
      <c r="G322" s="49">
        <v>48750</v>
      </c>
      <c r="H322" s="49">
        <v>21990</v>
      </c>
      <c r="I322" s="47">
        <v>76</v>
      </c>
      <c r="J322" s="47">
        <v>61</v>
      </c>
      <c r="K322" s="47">
        <v>0</v>
      </c>
    </row>
    <row r="323" spans="2:11" x14ac:dyDescent="0.25">
      <c r="B323" s="47">
        <v>319</v>
      </c>
      <c r="C323" s="47" t="s">
        <v>59</v>
      </c>
      <c r="D323" s="48">
        <v>24168</v>
      </c>
      <c r="E323" s="47">
        <v>15</v>
      </c>
      <c r="F323" s="47">
        <v>1</v>
      </c>
      <c r="G323" s="49">
        <v>43410</v>
      </c>
      <c r="H323" s="49">
        <v>15750</v>
      </c>
      <c r="I323" s="47">
        <v>76</v>
      </c>
      <c r="J323" s="47">
        <v>12</v>
      </c>
      <c r="K323" s="47">
        <v>0</v>
      </c>
    </row>
    <row r="324" spans="2:11" x14ac:dyDescent="0.25">
      <c r="B324" s="47">
        <v>320</v>
      </c>
      <c r="C324" s="47" t="s">
        <v>59</v>
      </c>
      <c r="D324" s="48">
        <v>13464</v>
      </c>
      <c r="E324" s="47">
        <v>12</v>
      </c>
      <c r="F324" s="47">
        <v>1</v>
      </c>
      <c r="G324" s="49">
        <v>22050</v>
      </c>
      <c r="H324" s="49">
        <v>15000</v>
      </c>
      <c r="I324" s="47">
        <v>76</v>
      </c>
      <c r="J324" s="47">
        <v>385</v>
      </c>
      <c r="K324" s="47">
        <v>0</v>
      </c>
    </row>
    <row r="325" spans="2:11" x14ac:dyDescent="0.25">
      <c r="B325" s="47">
        <v>321</v>
      </c>
      <c r="C325" s="47" t="s">
        <v>60</v>
      </c>
      <c r="D325" s="48">
        <v>19658</v>
      </c>
      <c r="E325" s="47">
        <v>12</v>
      </c>
      <c r="F325" s="47">
        <v>1</v>
      </c>
      <c r="G325" s="49">
        <v>22050</v>
      </c>
      <c r="H325" s="49">
        <v>12000</v>
      </c>
      <c r="I325" s="47">
        <v>76</v>
      </c>
      <c r="J325" s="47">
        <v>6</v>
      </c>
      <c r="K325" s="47">
        <v>0</v>
      </c>
    </row>
    <row r="326" spans="2:11" x14ac:dyDescent="0.25">
      <c r="B326" s="47">
        <v>322</v>
      </c>
      <c r="C326" s="47" t="s">
        <v>60</v>
      </c>
      <c r="D326" s="48">
        <v>13941</v>
      </c>
      <c r="E326" s="47">
        <v>12</v>
      </c>
      <c r="F326" s="47">
        <v>1</v>
      </c>
      <c r="G326" s="49">
        <v>22500</v>
      </c>
      <c r="H326" s="49">
        <v>14250</v>
      </c>
      <c r="I326" s="47">
        <v>76</v>
      </c>
      <c r="J326" s="47">
        <v>90</v>
      </c>
      <c r="K326" s="47">
        <v>0</v>
      </c>
    </row>
    <row r="327" spans="2:11" x14ac:dyDescent="0.25">
      <c r="B327" s="47">
        <v>323</v>
      </c>
      <c r="C327" s="47" t="s">
        <v>60</v>
      </c>
      <c r="D327" s="48">
        <v>24605</v>
      </c>
      <c r="E327" s="47">
        <v>15</v>
      </c>
      <c r="F327" s="47">
        <v>1</v>
      </c>
      <c r="G327" s="49">
        <v>25500</v>
      </c>
      <c r="H327" s="49">
        <v>12000</v>
      </c>
      <c r="I327" s="47">
        <v>76</v>
      </c>
      <c r="J327" s="47">
        <v>7</v>
      </c>
      <c r="K327" s="47">
        <v>0</v>
      </c>
    </row>
    <row r="328" spans="2:11" x14ac:dyDescent="0.25">
      <c r="B328" s="47">
        <v>324</v>
      </c>
      <c r="C328" s="47" t="s">
        <v>60</v>
      </c>
      <c r="D328" s="48">
        <v>24394</v>
      </c>
      <c r="E328" s="47">
        <v>12</v>
      </c>
      <c r="F328" s="47">
        <v>1</v>
      </c>
      <c r="G328" s="49">
        <v>29160</v>
      </c>
      <c r="H328" s="49">
        <v>15000</v>
      </c>
      <c r="I328" s="47">
        <v>76</v>
      </c>
      <c r="J328" s="47">
        <v>22</v>
      </c>
      <c r="K328" s="47">
        <v>0</v>
      </c>
    </row>
    <row r="329" spans="2:11" x14ac:dyDescent="0.25">
      <c r="B329" s="47">
        <v>325</v>
      </c>
      <c r="C329" s="47" t="s">
        <v>60</v>
      </c>
      <c r="D329" s="48">
        <v>12727</v>
      </c>
      <c r="E329" s="47">
        <v>8</v>
      </c>
      <c r="F329" s="47">
        <v>1</v>
      </c>
      <c r="G329" s="49">
        <v>16800</v>
      </c>
      <c r="H329" s="49">
        <v>10200</v>
      </c>
      <c r="I329" s="47">
        <v>76</v>
      </c>
      <c r="J329" s="47">
        <v>76</v>
      </c>
      <c r="K329" s="47">
        <v>0</v>
      </c>
    </row>
    <row r="330" spans="2:11" x14ac:dyDescent="0.25">
      <c r="B330" s="47">
        <v>326</v>
      </c>
      <c r="C330" s="47" t="s">
        <v>59</v>
      </c>
      <c r="D330" s="48">
        <v>21390</v>
      </c>
      <c r="E330" s="47">
        <v>8</v>
      </c>
      <c r="F330" s="47">
        <v>2</v>
      </c>
      <c r="G330" s="49">
        <v>29550</v>
      </c>
      <c r="H330" s="49">
        <v>15750</v>
      </c>
      <c r="I330" s="47">
        <v>76</v>
      </c>
      <c r="J330" s="47">
        <v>144</v>
      </c>
      <c r="K330" s="47">
        <v>1</v>
      </c>
    </row>
    <row r="331" spans="2:11" x14ac:dyDescent="0.25">
      <c r="B331" s="47">
        <v>327</v>
      </c>
      <c r="C331" s="47" t="s">
        <v>59</v>
      </c>
      <c r="D331" s="48">
        <v>23803</v>
      </c>
      <c r="E331" s="47">
        <v>12</v>
      </c>
      <c r="F331" s="47">
        <v>1</v>
      </c>
      <c r="G331" s="49">
        <v>26700</v>
      </c>
      <c r="H331" s="49">
        <v>15750</v>
      </c>
      <c r="I331" s="47">
        <v>76</v>
      </c>
      <c r="J331" s="47">
        <v>18</v>
      </c>
      <c r="K331" s="47">
        <v>1</v>
      </c>
    </row>
    <row r="332" spans="2:11" x14ac:dyDescent="0.25">
      <c r="B332" s="47">
        <v>328</v>
      </c>
      <c r="C332" s="47" t="s">
        <v>59</v>
      </c>
      <c r="D332" s="48">
        <v>19292</v>
      </c>
      <c r="E332" s="47">
        <v>18</v>
      </c>
      <c r="F332" s="47">
        <v>3</v>
      </c>
      <c r="G332" s="49">
        <v>55000</v>
      </c>
      <c r="H332" s="49">
        <v>32490</v>
      </c>
      <c r="I332" s="47">
        <v>75</v>
      </c>
      <c r="J332" s="47">
        <v>125</v>
      </c>
      <c r="K332" s="47">
        <v>0</v>
      </c>
    </row>
    <row r="333" spans="2:11" x14ac:dyDescent="0.25">
      <c r="B333" s="47">
        <v>329</v>
      </c>
      <c r="C333" s="47" t="s">
        <v>59</v>
      </c>
      <c r="D333" s="48">
        <v>21421</v>
      </c>
      <c r="E333" s="47">
        <v>18</v>
      </c>
      <c r="F333" s="47">
        <v>3</v>
      </c>
      <c r="G333" s="49">
        <v>62500</v>
      </c>
      <c r="H333" s="49">
        <v>34980</v>
      </c>
      <c r="I333" s="47">
        <v>75</v>
      </c>
      <c r="J333" s="47">
        <v>74</v>
      </c>
      <c r="K333" s="47">
        <v>0</v>
      </c>
    </row>
    <row r="334" spans="2:11" x14ac:dyDescent="0.25">
      <c r="B334" s="47">
        <v>330</v>
      </c>
      <c r="C334" s="47" t="s">
        <v>59</v>
      </c>
      <c r="D334" s="48">
        <v>21679</v>
      </c>
      <c r="E334" s="47">
        <v>15</v>
      </c>
      <c r="F334" s="47">
        <v>1</v>
      </c>
      <c r="G334" s="49">
        <v>27300</v>
      </c>
      <c r="H334" s="49">
        <v>17250</v>
      </c>
      <c r="I334" s="47">
        <v>75</v>
      </c>
      <c r="J334" s="47">
        <v>132</v>
      </c>
      <c r="K334" s="47">
        <v>0</v>
      </c>
    </row>
    <row r="335" spans="2:11" x14ac:dyDescent="0.25">
      <c r="B335" s="47">
        <v>331</v>
      </c>
      <c r="C335" s="47" t="s">
        <v>60</v>
      </c>
      <c r="D335" s="48">
        <v>15376</v>
      </c>
      <c r="E335" s="47">
        <v>12</v>
      </c>
      <c r="F335" s="47">
        <v>1</v>
      </c>
      <c r="G335" s="49">
        <v>24450</v>
      </c>
      <c r="H335" s="49">
        <v>12000</v>
      </c>
      <c r="I335" s="47">
        <v>75</v>
      </c>
      <c r="J335" s="47">
        <v>144</v>
      </c>
      <c r="K335" s="47">
        <v>0</v>
      </c>
    </row>
    <row r="336" spans="2:11" x14ac:dyDescent="0.25">
      <c r="B336" s="47">
        <v>332</v>
      </c>
      <c r="C336" s="47" t="s">
        <v>60</v>
      </c>
      <c r="D336" s="48">
        <v>23507</v>
      </c>
      <c r="E336" s="47">
        <v>16</v>
      </c>
      <c r="F336" s="47">
        <v>1</v>
      </c>
      <c r="G336" s="49">
        <v>33000</v>
      </c>
      <c r="H336" s="49">
        <v>18000</v>
      </c>
      <c r="I336" s="47">
        <v>75</v>
      </c>
      <c r="J336" s="47">
        <v>26</v>
      </c>
      <c r="K336" s="47">
        <v>0</v>
      </c>
    </row>
    <row r="337" spans="2:11" x14ac:dyDescent="0.25">
      <c r="B337" s="47">
        <v>333</v>
      </c>
      <c r="C337" s="47" t="s">
        <v>60</v>
      </c>
      <c r="D337" s="48">
        <v>23768</v>
      </c>
      <c r="E337" s="47">
        <v>15</v>
      </c>
      <c r="F337" s="47">
        <v>1</v>
      </c>
      <c r="G337" s="49">
        <v>37050</v>
      </c>
      <c r="H337" s="49">
        <v>18000</v>
      </c>
      <c r="I337" s="47">
        <v>75</v>
      </c>
      <c r="J337" s="47">
        <v>5</v>
      </c>
      <c r="K337" s="47">
        <v>0</v>
      </c>
    </row>
    <row r="338" spans="2:11" x14ac:dyDescent="0.25">
      <c r="B338" s="47">
        <v>334</v>
      </c>
      <c r="C338" s="47" t="s">
        <v>60</v>
      </c>
      <c r="D338" s="48">
        <v>24236</v>
      </c>
      <c r="E338" s="47">
        <v>12</v>
      </c>
      <c r="F338" s="47">
        <v>1</v>
      </c>
      <c r="G338" s="49">
        <v>24450</v>
      </c>
      <c r="H338" s="49">
        <v>10950</v>
      </c>
      <c r="I338" s="47">
        <v>75</v>
      </c>
      <c r="J338" s="47">
        <v>32</v>
      </c>
      <c r="K338" s="47">
        <v>1</v>
      </c>
    </row>
    <row r="339" spans="2:11" x14ac:dyDescent="0.25">
      <c r="B339" s="47">
        <v>335</v>
      </c>
      <c r="C339" s="47" t="s">
        <v>59</v>
      </c>
      <c r="D339" s="48">
        <v>11015</v>
      </c>
      <c r="E339" s="47">
        <v>8</v>
      </c>
      <c r="F339" s="47">
        <v>2</v>
      </c>
      <c r="G339" s="49">
        <v>31950</v>
      </c>
      <c r="H339" s="49">
        <v>15750</v>
      </c>
      <c r="I339" s="47">
        <v>74</v>
      </c>
      <c r="J339" s="47">
        <v>408</v>
      </c>
      <c r="K339" s="47">
        <v>0</v>
      </c>
    </row>
    <row r="340" spans="2:11" x14ac:dyDescent="0.25">
      <c r="B340" s="47">
        <v>336</v>
      </c>
      <c r="C340" s="47" t="s">
        <v>59</v>
      </c>
      <c r="D340" s="48">
        <v>23386</v>
      </c>
      <c r="E340" s="47">
        <v>16</v>
      </c>
      <c r="F340" s="47">
        <v>3</v>
      </c>
      <c r="G340" s="49">
        <v>47250</v>
      </c>
      <c r="H340" s="49">
        <v>21240</v>
      </c>
      <c r="I340" s="47">
        <v>74</v>
      </c>
      <c r="J340" s="47">
        <v>45</v>
      </c>
      <c r="K340" s="47">
        <v>0</v>
      </c>
    </row>
    <row r="341" spans="2:11" x14ac:dyDescent="0.25">
      <c r="B341" s="47">
        <v>337</v>
      </c>
      <c r="C341" s="47" t="s">
        <v>60</v>
      </c>
      <c r="D341" s="48">
        <v>25595</v>
      </c>
      <c r="E341" s="47">
        <v>12</v>
      </c>
      <c r="F341" s="47">
        <v>1</v>
      </c>
      <c r="G341" s="49">
        <v>26100</v>
      </c>
      <c r="H341" s="49">
        <v>11550</v>
      </c>
      <c r="I341" s="47">
        <v>74</v>
      </c>
      <c r="J341" s="47">
        <v>2</v>
      </c>
      <c r="K341" s="47">
        <v>0</v>
      </c>
    </row>
    <row r="342" spans="2:11" x14ac:dyDescent="0.25">
      <c r="B342" s="47">
        <v>338</v>
      </c>
      <c r="C342" s="47" t="s">
        <v>60</v>
      </c>
      <c r="D342" s="48">
        <v>14104</v>
      </c>
      <c r="E342" s="47">
        <v>8</v>
      </c>
      <c r="F342" s="47">
        <v>1</v>
      </c>
      <c r="G342" s="49">
        <v>15900</v>
      </c>
      <c r="H342" s="49">
        <v>10200</v>
      </c>
      <c r="I342" s="47">
        <v>74</v>
      </c>
      <c r="J342" s="47">
        <v>43</v>
      </c>
      <c r="K342" s="47">
        <v>0</v>
      </c>
    </row>
    <row r="343" spans="2:11" x14ac:dyDescent="0.25">
      <c r="B343" s="47">
        <v>339</v>
      </c>
      <c r="C343" s="47" t="s">
        <v>60</v>
      </c>
      <c r="D343" s="48">
        <v>15652</v>
      </c>
      <c r="E343" s="47">
        <v>8</v>
      </c>
      <c r="F343" s="47">
        <v>1</v>
      </c>
      <c r="G343" s="49">
        <v>23700</v>
      </c>
      <c r="H343" s="49">
        <v>10650</v>
      </c>
      <c r="I343" s="47">
        <v>74</v>
      </c>
      <c r="J343" s="47">
        <v>281</v>
      </c>
      <c r="K343" s="47">
        <v>0</v>
      </c>
    </row>
    <row r="344" spans="2:11" x14ac:dyDescent="0.25">
      <c r="B344" s="47">
        <v>340</v>
      </c>
      <c r="C344" s="47" t="s">
        <v>60</v>
      </c>
      <c r="D344" s="48">
        <v>12545</v>
      </c>
      <c r="E344" s="47">
        <v>8</v>
      </c>
      <c r="F344" s="47">
        <v>1</v>
      </c>
      <c r="G344" s="49">
        <v>21750</v>
      </c>
      <c r="H344" s="49">
        <v>12450</v>
      </c>
      <c r="I344" s="47">
        <v>74</v>
      </c>
      <c r="J344" s="47">
        <v>318</v>
      </c>
      <c r="K344" s="47">
        <v>0</v>
      </c>
    </row>
    <row r="345" spans="2:11" x14ac:dyDescent="0.25">
      <c r="B345" s="47">
        <v>341</v>
      </c>
      <c r="C345" s="47" t="s">
        <v>59</v>
      </c>
      <c r="D345" s="48">
        <v>16457</v>
      </c>
      <c r="E345" s="47">
        <v>12</v>
      </c>
      <c r="F345" s="47">
        <v>3</v>
      </c>
      <c r="G345" s="49">
        <v>59400</v>
      </c>
      <c r="H345" s="49">
        <v>33750</v>
      </c>
      <c r="I345" s="47">
        <v>74</v>
      </c>
      <c r="J345" s="47">
        <v>272</v>
      </c>
      <c r="K345" s="47">
        <v>1</v>
      </c>
    </row>
    <row r="346" spans="2:11" x14ac:dyDescent="0.25">
      <c r="B346" s="47">
        <v>342</v>
      </c>
      <c r="C346" s="47" t="s">
        <v>60</v>
      </c>
      <c r="D346" s="48">
        <v>17685</v>
      </c>
      <c r="E346" s="47">
        <v>12</v>
      </c>
      <c r="F346" s="47">
        <v>1</v>
      </c>
      <c r="G346" s="49">
        <v>24450</v>
      </c>
      <c r="H346" s="49">
        <v>14250</v>
      </c>
      <c r="I346" s="47">
        <v>74</v>
      </c>
      <c r="J346" s="47">
        <v>117</v>
      </c>
      <c r="K346" s="47">
        <v>1</v>
      </c>
    </row>
    <row r="347" spans="2:11" x14ac:dyDescent="0.25">
      <c r="B347" s="47">
        <v>235</v>
      </c>
      <c r="C347" s="47" t="s">
        <v>59</v>
      </c>
      <c r="D347" s="48">
        <v>22900</v>
      </c>
      <c r="E347" s="47">
        <v>19</v>
      </c>
      <c r="F347" s="47">
        <v>3</v>
      </c>
      <c r="G347" s="49">
        <v>75000</v>
      </c>
      <c r="H347" s="49">
        <v>31500</v>
      </c>
      <c r="I347" s="47">
        <v>81</v>
      </c>
      <c r="J347" s="47">
        <v>13</v>
      </c>
      <c r="K347" s="47">
        <v>0</v>
      </c>
    </row>
    <row r="348" spans="2:11" x14ac:dyDescent="0.25">
      <c r="B348" s="47">
        <v>344</v>
      </c>
      <c r="C348" s="47" t="s">
        <v>59</v>
      </c>
      <c r="D348" s="48">
        <v>23297</v>
      </c>
      <c r="E348" s="47">
        <v>12</v>
      </c>
      <c r="F348" s="47">
        <v>1</v>
      </c>
      <c r="G348" s="49">
        <v>35700</v>
      </c>
      <c r="H348" s="49">
        <v>16500</v>
      </c>
      <c r="I348" s="47">
        <v>73</v>
      </c>
      <c r="J348" s="47">
        <v>72</v>
      </c>
      <c r="K348" s="47">
        <v>0</v>
      </c>
    </row>
    <row r="349" spans="2:11" x14ac:dyDescent="0.25">
      <c r="B349" s="47">
        <v>345</v>
      </c>
      <c r="C349" s="47" t="s">
        <v>60</v>
      </c>
      <c r="D349" s="48">
        <v>25328</v>
      </c>
      <c r="E349" s="47">
        <v>12</v>
      </c>
      <c r="F349" s="47">
        <v>1</v>
      </c>
      <c r="G349" s="49">
        <v>22200</v>
      </c>
      <c r="H349" s="49">
        <v>16500</v>
      </c>
      <c r="I349" s="47">
        <v>73</v>
      </c>
      <c r="J349" s="47">
        <v>7</v>
      </c>
      <c r="K349" s="47">
        <v>0</v>
      </c>
    </row>
    <row r="350" spans="2:11" x14ac:dyDescent="0.25">
      <c r="B350" s="47">
        <v>346</v>
      </c>
      <c r="C350" s="47" t="s">
        <v>60</v>
      </c>
      <c r="D350" s="48">
        <v>25066</v>
      </c>
      <c r="E350" s="47">
        <v>15</v>
      </c>
      <c r="F350" s="47">
        <v>1</v>
      </c>
      <c r="G350" s="49">
        <v>22950</v>
      </c>
      <c r="H350" s="49">
        <v>13950</v>
      </c>
      <c r="I350" s="47">
        <v>73</v>
      </c>
      <c r="J350" s="47">
        <v>22</v>
      </c>
      <c r="K350" s="47">
        <v>0</v>
      </c>
    </row>
    <row r="351" spans="2:11" x14ac:dyDescent="0.25">
      <c r="B351" s="47">
        <v>347</v>
      </c>
      <c r="C351" s="47" t="s">
        <v>60</v>
      </c>
      <c r="D351" s="48">
        <v>16294</v>
      </c>
      <c r="E351" s="47">
        <v>12</v>
      </c>
      <c r="F351" s="47">
        <v>1</v>
      </c>
      <c r="G351" s="49">
        <v>23100</v>
      </c>
      <c r="H351" s="49">
        <v>12000</v>
      </c>
      <c r="I351" s="47">
        <v>73</v>
      </c>
      <c r="J351" s="47">
        <v>228</v>
      </c>
      <c r="K351" s="47">
        <v>0</v>
      </c>
    </row>
    <row r="352" spans="2:11" x14ac:dyDescent="0.25">
      <c r="B352" s="47">
        <v>348</v>
      </c>
      <c r="C352" s="47" t="s">
        <v>60</v>
      </c>
      <c r="D352" s="48">
        <v>22808</v>
      </c>
      <c r="E352" s="47">
        <v>16</v>
      </c>
      <c r="F352" s="47">
        <v>3</v>
      </c>
      <c r="G352" s="49">
        <v>56750</v>
      </c>
      <c r="H352" s="49">
        <v>30000</v>
      </c>
      <c r="I352" s="47">
        <v>73</v>
      </c>
      <c r="J352" s="47">
        <v>15</v>
      </c>
      <c r="K352" s="47">
        <v>0</v>
      </c>
    </row>
    <row r="353" spans="2:11" x14ac:dyDescent="0.25">
      <c r="B353" s="47">
        <v>349</v>
      </c>
      <c r="C353" s="47" t="s">
        <v>60</v>
      </c>
      <c r="D353" s="48">
        <v>13961</v>
      </c>
      <c r="E353" s="47">
        <v>17</v>
      </c>
      <c r="F353" s="47">
        <v>1</v>
      </c>
      <c r="G353" s="49">
        <v>29100</v>
      </c>
      <c r="H353" s="49">
        <v>12750</v>
      </c>
      <c r="I353" s="47">
        <v>73</v>
      </c>
      <c r="J353" s="47">
        <v>375</v>
      </c>
      <c r="K353" s="47">
        <v>0</v>
      </c>
    </row>
    <row r="354" spans="2:11" x14ac:dyDescent="0.25">
      <c r="B354" s="47">
        <v>350</v>
      </c>
      <c r="C354" s="47" t="s">
        <v>60</v>
      </c>
      <c r="D354" s="48">
        <v>14356</v>
      </c>
      <c r="E354" s="47">
        <v>12</v>
      </c>
      <c r="F354" s="47">
        <v>1</v>
      </c>
      <c r="G354" s="49">
        <v>37650</v>
      </c>
      <c r="H354" s="49">
        <v>15750</v>
      </c>
      <c r="I354" s="47">
        <v>73</v>
      </c>
      <c r="J354" s="47">
        <v>132</v>
      </c>
      <c r="K354" s="47">
        <v>0</v>
      </c>
    </row>
    <row r="355" spans="2:11" x14ac:dyDescent="0.25">
      <c r="B355" s="47">
        <v>351</v>
      </c>
      <c r="C355" s="47" t="s">
        <v>60</v>
      </c>
      <c r="D355" s="48">
        <v>24134</v>
      </c>
      <c r="E355" s="47">
        <v>12</v>
      </c>
      <c r="F355" s="47">
        <v>1</v>
      </c>
      <c r="G355" s="49">
        <v>27900</v>
      </c>
      <c r="H355" s="49">
        <v>13500</v>
      </c>
      <c r="I355" s="47">
        <v>73</v>
      </c>
      <c r="J355" s="47">
        <v>32</v>
      </c>
      <c r="K355" s="47">
        <v>0</v>
      </c>
    </row>
    <row r="356" spans="2:11" x14ac:dyDescent="0.25">
      <c r="B356" s="47">
        <v>352</v>
      </c>
      <c r="C356" s="47" t="s">
        <v>60</v>
      </c>
      <c r="D356" s="48">
        <v>12384</v>
      </c>
      <c r="E356" s="47">
        <v>8</v>
      </c>
      <c r="F356" s="47">
        <v>1</v>
      </c>
      <c r="G356" s="49">
        <v>21150</v>
      </c>
      <c r="H356" s="49">
        <v>12000</v>
      </c>
      <c r="I356" s="47">
        <v>73</v>
      </c>
      <c r="J356" s="47">
        <v>159</v>
      </c>
      <c r="K356" s="47">
        <v>0</v>
      </c>
    </row>
    <row r="357" spans="2:11" x14ac:dyDescent="0.25">
      <c r="B357" s="47">
        <v>353</v>
      </c>
      <c r="C357" s="47" t="s">
        <v>59</v>
      </c>
      <c r="D357" s="48">
        <v>20158</v>
      </c>
      <c r="E357" s="47">
        <v>12</v>
      </c>
      <c r="F357" s="47">
        <v>2</v>
      </c>
      <c r="G357" s="49">
        <v>31200</v>
      </c>
      <c r="H357" s="49">
        <v>15750</v>
      </c>
      <c r="I357" s="47">
        <v>73</v>
      </c>
      <c r="J357" s="47">
        <v>155</v>
      </c>
      <c r="K357" s="47">
        <v>1</v>
      </c>
    </row>
    <row r="358" spans="2:11" x14ac:dyDescent="0.25">
      <c r="B358" s="47">
        <v>354</v>
      </c>
      <c r="C358" s="47" t="s">
        <v>60</v>
      </c>
      <c r="D358" s="48">
        <v>16930</v>
      </c>
      <c r="E358" s="47">
        <v>12</v>
      </c>
      <c r="F358" s="47">
        <v>1</v>
      </c>
      <c r="G358" s="49">
        <v>20550</v>
      </c>
      <c r="H358" s="49">
        <v>11250</v>
      </c>
      <c r="I358" s="47">
        <v>73</v>
      </c>
      <c r="J358" s="47">
        <v>154</v>
      </c>
      <c r="K358" s="47">
        <v>1</v>
      </c>
    </row>
    <row r="359" spans="2:11" x14ac:dyDescent="0.25">
      <c r="B359" s="47">
        <v>355</v>
      </c>
      <c r="C359" s="47" t="s">
        <v>59</v>
      </c>
      <c r="D359" s="48">
        <v>22420</v>
      </c>
      <c r="E359" s="47">
        <v>15</v>
      </c>
      <c r="F359" s="47">
        <v>1</v>
      </c>
      <c r="G359" s="49">
        <v>25950</v>
      </c>
      <c r="H359" s="49">
        <v>17250</v>
      </c>
      <c r="I359" s="47">
        <v>72</v>
      </c>
      <c r="J359" s="47">
        <v>83</v>
      </c>
      <c r="K359" s="47">
        <v>0</v>
      </c>
    </row>
    <row r="360" spans="2:11" x14ac:dyDescent="0.25">
      <c r="B360" s="47">
        <v>356</v>
      </c>
      <c r="C360" s="47" t="s">
        <v>59</v>
      </c>
      <c r="D360" s="48">
        <v>24056</v>
      </c>
      <c r="E360" s="47">
        <v>15</v>
      </c>
      <c r="F360" s="47">
        <v>1</v>
      </c>
      <c r="G360" s="49">
        <v>28350</v>
      </c>
      <c r="H360" s="49">
        <v>15000</v>
      </c>
      <c r="I360" s="47">
        <v>72</v>
      </c>
      <c r="J360" s="47">
        <v>48</v>
      </c>
      <c r="K360" s="47">
        <v>0</v>
      </c>
    </row>
    <row r="361" spans="2:11" x14ac:dyDescent="0.25">
      <c r="B361" s="47">
        <v>357</v>
      </c>
      <c r="C361" s="47" t="s">
        <v>60</v>
      </c>
      <c r="D361" s="48">
        <v>11706</v>
      </c>
      <c r="E361" s="47">
        <v>8</v>
      </c>
      <c r="F361" s="47">
        <v>1</v>
      </c>
      <c r="G361" s="49">
        <v>17700</v>
      </c>
      <c r="H361" s="49">
        <v>10200</v>
      </c>
      <c r="I361" s="47">
        <v>72</v>
      </c>
      <c r="J361" s="47">
        <v>184</v>
      </c>
      <c r="K361" s="47">
        <v>0</v>
      </c>
    </row>
    <row r="362" spans="2:11" x14ac:dyDescent="0.25">
      <c r="B362" s="47">
        <v>358</v>
      </c>
      <c r="C362" s="47" t="s">
        <v>60</v>
      </c>
      <c r="D362" s="48">
        <v>16173</v>
      </c>
      <c r="E362" s="47">
        <v>15</v>
      </c>
      <c r="F362" s="47">
        <v>1</v>
      </c>
      <c r="G362" s="49">
        <v>23550</v>
      </c>
      <c r="H362" s="49">
        <v>13500</v>
      </c>
      <c r="I362" s="47">
        <v>72</v>
      </c>
      <c r="J362" s="47">
        <v>49</v>
      </c>
      <c r="K362" s="47">
        <v>0</v>
      </c>
    </row>
    <row r="363" spans="2:11" x14ac:dyDescent="0.25">
      <c r="B363" s="47">
        <v>359</v>
      </c>
      <c r="C363" s="47" t="s">
        <v>60</v>
      </c>
      <c r="D363" s="48">
        <v>15139</v>
      </c>
      <c r="E363" s="47">
        <v>12</v>
      </c>
      <c r="F363" s="47">
        <v>1</v>
      </c>
      <c r="G363" s="49">
        <v>19950</v>
      </c>
      <c r="H363" s="49">
        <v>10200</v>
      </c>
      <c r="I363" s="47">
        <v>72</v>
      </c>
      <c r="J363" s="47">
        <v>56</v>
      </c>
      <c r="K363" s="47">
        <v>0</v>
      </c>
    </row>
    <row r="364" spans="2:11" x14ac:dyDescent="0.25">
      <c r="B364" s="47">
        <v>360</v>
      </c>
      <c r="C364" s="47" t="s">
        <v>60</v>
      </c>
      <c r="D364" s="48">
        <v>25061</v>
      </c>
      <c r="E364" s="47">
        <v>12</v>
      </c>
      <c r="F364" s="47">
        <v>1</v>
      </c>
      <c r="G364" s="49">
        <v>29400</v>
      </c>
      <c r="H364" s="49">
        <v>15300</v>
      </c>
      <c r="I364" s="47">
        <v>72</v>
      </c>
      <c r="J364" s="47">
        <v>30</v>
      </c>
      <c r="K364" s="47">
        <v>0</v>
      </c>
    </row>
    <row r="365" spans="2:11" x14ac:dyDescent="0.25">
      <c r="B365" s="47">
        <v>361</v>
      </c>
      <c r="C365" s="47" t="s">
        <v>60</v>
      </c>
      <c r="D365" s="48">
        <v>24267</v>
      </c>
      <c r="E365" s="47">
        <v>12</v>
      </c>
      <c r="F365" s="47">
        <v>1</v>
      </c>
      <c r="G365" s="49">
        <v>28800</v>
      </c>
      <c r="H365" s="49">
        <v>13950</v>
      </c>
      <c r="I365" s="47">
        <v>72</v>
      </c>
      <c r="J365" s="47">
        <v>18</v>
      </c>
      <c r="K365" s="47">
        <v>0</v>
      </c>
    </row>
    <row r="366" spans="2:11" x14ac:dyDescent="0.25">
      <c r="B366" s="47">
        <v>362</v>
      </c>
      <c r="C366" s="47" t="s">
        <v>60</v>
      </c>
      <c r="D366" s="48">
        <v>13613</v>
      </c>
      <c r="E366" s="47">
        <v>8</v>
      </c>
      <c r="F366" s="47">
        <v>1</v>
      </c>
      <c r="G366" s="49">
        <v>16950</v>
      </c>
      <c r="H366" s="49">
        <v>10200</v>
      </c>
      <c r="I366" s="47">
        <v>72</v>
      </c>
      <c r="J366" s="47">
        <v>319</v>
      </c>
      <c r="K366" s="47">
        <v>0</v>
      </c>
    </row>
    <row r="367" spans="2:11" x14ac:dyDescent="0.25">
      <c r="B367" s="47">
        <v>363</v>
      </c>
      <c r="C367" s="47" t="s">
        <v>59</v>
      </c>
      <c r="D367" s="48">
        <v>19878</v>
      </c>
      <c r="E367" s="47">
        <v>16</v>
      </c>
      <c r="F367" s="47">
        <v>1</v>
      </c>
      <c r="G367" s="49">
        <v>35700</v>
      </c>
      <c r="H367" s="49">
        <v>18000</v>
      </c>
      <c r="I367" s="47">
        <v>72</v>
      </c>
      <c r="J367" s="47">
        <v>138</v>
      </c>
      <c r="K367" s="47">
        <v>1</v>
      </c>
    </row>
    <row r="368" spans="2:11" x14ac:dyDescent="0.25">
      <c r="B368" s="47">
        <v>364</v>
      </c>
      <c r="C368" s="47" t="s">
        <v>60</v>
      </c>
      <c r="D368" s="48">
        <v>17252</v>
      </c>
      <c r="E368" s="47">
        <v>12</v>
      </c>
      <c r="F368" s="47">
        <v>1</v>
      </c>
      <c r="G368" s="49">
        <v>17400</v>
      </c>
      <c r="H368" s="49">
        <v>10200</v>
      </c>
      <c r="I368" s="47">
        <v>72</v>
      </c>
      <c r="J368" s="47">
        <v>116</v>
      </c>
      <c r="K368" s="47">
        <v>1</v>
      </c>
    </row>
    <row r="369" spans="2:11" x14ac:dyDescent="0.25">
      <c r="B369" s="47">
        <v>365</v>
      </c>
      <c r="C369" s="47" t="s">
        <v>60</v>
      </c>
      <c r="D369" s="48">
        <v>17822</v>
      </c>
      <c r="E369" s="47">
        <v>8</v>
      </c>
      <c r="F369" s="47">
        <v>1</v>
      </c>
      <c r="G369" s="49">
        <v>21450</v>
      </c>
      <c r="H369" s="49">
        <v>10200</v>
      </c>
      <c r="I369" s="47">
        <v>72</v>
      </c>
      <c r="J369" s="47">
        <v>194</v>
      </c>
      <c r="K369" s="47">
        <v>1</v>
      </c>
    </row>
    <row r="370" spans="2:11" x14ac:dyDescent="0.25">
      <c r="B370" s="47">
        <v>366</v>
      </c>
      <c r="C370" s="47" t="s">
        <v>60</v>
      </c>
      <c r="D370" s="48">
        <v>22361</v>
      </c>
      <c r="E370" s="47">
        <v>12</v>
      </c>
      <c r="F370" s="47">
        <v>1</v>
      </c>
      <c r="G370" s="49">
        <v>24750</v>
      </c>
      <c r="H370" s="49">
        <v>12000</v>
      </c>
      <c r="I370" s="47">
        <v>72</v>
      </c>
      <c r="J370" s="47">
        <v>68</v>
      </c>
      <c r="K370" s="47">
        <v>1</v>
      </c>
    </row>
    <row r="371" spans="2:11" x14ac:dyDescent="0.25">
      <c r="B371" s="47">
        <v>367</v>
      </c>
      <c r="C371" s="47" t="s">
        <v>60</v>
      </c>
      <c r="D371" s="48">
        <v>15483</v>
      </c>
      <c r="E371" s="47">
        <v>12</v>
      </c>
      <c r="F371" s="47">
        <v>1</v>
      </c>
      <c r="G371" s="49">
        <v>16950</v>
      </c>
      <c r="H371" s="49">
        <v>10200</v>
      </c>
      <c r="I371" s="47">
        <v>72</v>
      </c>
      <c r="J371" s="47">
        <v>271</v>
      </c>
      <c r="K371" s="47">
        <v>1</v>
      </c>
    </row>
    <row r="372" spans="2:11" x14ac:dyDescent="0.25">
      <c r="B372" s="47">
        <v>368</v>
      </c>
      <c r="C372" s="47" t="s">
        <v>60</v>
      </c>
      <c r="D372" s="48">
        <v>15907</v>
      </c>
      <c r="E372" s="47">
        <v>12</v>
      </c>
      <c r="F372" s="47">
        <v>1</v>
      </c>
      <c r="G372" s="49">
        <v>26100</v>
      </c>
      <c r="H372" s="49">
        <v>13500</v>
      </c>
      <c r="I372" s="47">
        <v>72</v>
      </c>
      <c r="J372" s="47">
        <v>169</v>
      </c>
      <c r="K372" s="47">
        <v>1</v>
      </c>
    </row>
    <row r="373" spans="2:11" x14ac:dyDescent="0.25">
      <c r="B373" s="47">
        <v>369</v>
      </c>
      <c r="C373" s="47" t="s">
        <v>59</v>
      </c>
      <c r="D373" s="48">
        <v>24790</v>
      </c>
      <c r="E373" s="47">
        <v>14</v>
      </c>
      <c r="F373" s="47">
        <v>1</v>
      </c>
      <c r="G373" s="49">
        <v>28050</v>
      </c>
      <c r="H373" s="49">
        <v>15000</v>
      </c>
      <c r="I373" s="47">
        <v>71</v>
      </c>
      <c r="J373" s="47">
        <v>15</v>
      </c>
      <c r="K373" s="47">
        <v>0</v>
      </c>
    </row>
    <row r="374" spans="2:11" x14ac:dyDescent="0.25">
      <c r="B374" s="47">
        <v>370</v>
      </c>
      <c r="C374" s="47" t="s">
        <v>60</v>
      </c>
      <c r="D374" s="48">
        <v>23031</v>
      </c>
      <c r="E374" s="47">
        <v>16</v>
      </c>
      <c r="F374" s="47">
        <v>1</v>
      </c>
      <c r="G374" s="49">
        <v>36600</v>
      </c>
      <c r="H374" s="49">
        <v>18000</v>
      </c>
      <c r="I374" s="47">
        <v>71</v>
      </c>
      <c r="J374" s="47">
        <v>12</v>
      </c>
      <c r="K374" s="47">
        <v>0</v>
      </c>
    </row>
    <row r="375" spans="2:11" x14ac:dyDescent="0.25">
      <c r="B375" s="47">
        <v>371</v>
      </c>
      <c r="C375" s="47" t="s">
        <v>60</v>
      </c>
      <c r="D375" s="48">
        <v>24202</v>
      </c>
      <c r="E375" s="47">
        <v>16</v>
      </c>
      <c r="F375" s="47">
        <v>3</v>
      </c>
      <c r="G375" s="49">
        <v>58125</v>
      </c>
      <c r="H375" s="49">
        <v>18000</v>
      </c>
      <c r="I375" s="47">
        <v>71</v>
      </c>
      <c r="J375" s="47">
        <v>11</v>
      </c>
      <c r="K375" s="47">
        <v>0</v>
      </c>
    </row>
    <row r="376" spans="2:11" x14ac:dyDescent="0.25">
      <c r="B376" s="47">
        <v>372</v>
      </c>
      <c r="C376" s="47" t="s">
        <v>59</v>
      </c>
      <c r="D376" s="48">
        <v>13018</v>
      </c>
      <c r="E376" s="47">
        <v>15</v>
      </c>
      <c r="F376" s="47">
        <v>1</v>
      </c>
      <c r="G376" s="49">
        <v>21300</v>
      </c>
      <c r="H376" s="49">
        <v>15750</v>
      </c>
      <c r="I376" s="47">
        <v>70</v>
      </c>
      <c r="J376" s="47">
        <v>372</v>
      </c>
      <c r="K376" s="47">
        <v>0</v>
      </c>
    </row>
    <row r="377" spans="2:11" x14ac:dyDescent="0.25">
      <c r="B377" s="47">
        <v>373</v>
      </c>
      <c r="C377" s="47" t="s">
        <v>59</v>
      </c>
      <c r="D377" s="48">
        <v>18200</v>
      </c>
      <c r="E377" s="47">
        <v>12</v>
      </c>
      <c r="F377" s="47">
        <v>1</v>
      </c>
      <c r="G377" s="49">
        <v>22500</v>
      </c>
      <c r="H377" s="49">
        <v>16500</v>
      </c>
      <c r="I377" s="47">
        <v>70</v>
      </c>
      <c r="J377" s="47">
        <v>216</v>
      </c>
      <c r="K377" s="47">
        <v>0</v>
      </c>
    </row>
    <row r="378" spans="2:11" x14ac:dyDescent="0.25">
      <c r="B378" s="47">
        <v>374</v>
      </c>
      <c r="C378" s="47" t="s">
        <v>59</v>
      </c>
      <c r="D378" s="48">
        <v>24679</v>
      </c>
      <c r="E378" s="47">
        <v>15</v>
      </c>
      <c r="F378" s="47">
        <v>1</v>
      </c>
      <c r="G378" s="49">
        <v>29400</v>
      </c>
      <c r="H378" s="49">
        <v>15750</v>
      </c>
      <c r="I378" s="47">
        <v>70</v>
      </c>
      <c r="J378" s="47">
        <v>15</v>
      </c>
      <c r="K378" s="47">
        <v>0</v>
      </c>
    </row>
    <row r="379" spans="2:11" x14ac:dyDescent="0.25">
      <c r="B379" s="47">
        <v>375</v>
      </c>
      <c r="C379" s="47" t="s">
        <v>59</v>
      </c>
      <c r="D379" s="48">
        <v>24388</v>
      </c>
      <c r="E379" s="47">
        <v>12</v>
      </c>
      <c r="F379" s="47">
        <v>1</v>
      </c>
      <c r="G379" s="49">
        <v>27450</v>
      </c>
      <c r="H379" s="49">
        <v>14700</v>
      </c>
      <c r="I379" s="47">
        <v>70</v>
      </c>
      <c r="J379" s="47">
        <v>41</v>
      </c>
      <c r="K379" s="47">
        <v>0</v>
      </c>
    </row>
    <row r="380" spans="2:11" x14ac:dyDescent="0.25">
      <c r="B380" s="47">
        <v>376</v>
      </c>
      <c r="C380" s="47" t="s">
        <v>59</v>
      </c>
      <c r="D380" s="48">
        <v>23659</v>
      </c>
      <c r="E380" s="47">
        <v>15</v>
      </c>
      <c r="F380" s="47">
        <v>1</v>
      </c>
      <c r="G380" s="49">
        <v>29850</v>
      </c>
      <c r="H380" s="49">
        <v>15750</v>
      </c>
      <c r="I380" s="47">
        <v>70</v>
      </c>
      <c r="J380" s="47">
        <v>48</v>
      </c>
      <c r="K380" s="47">
        <v>0</v>
      </c>
    </row>
    <row r="381" spans="2:11" x14ac:dyDescent="0.25">
      <c r="B381" s="47">
        <v>377</v>
      </c>
      <c r="C381" s="47" t="s">
        <v>59</v>
      </c>
      <c r="D381" s="48">
        <v>24075</v>
      </c>
      <c r="E381" s="47">
        <v>15</v>
      </c>
      <c r="F381" s="47">
        <v>1</v>
      </c>
      <c r="G381" s="49">
        <v>25350</v>
      </c>
      <c r="H381" s="49">
        <v>15750</v>
      </c>
      <c r="I381" s="47">
        <v>70</v>
      </c>
      <c r="J381" s="47">
        <v>56</v>
      </c>
      <c r="K381" s="47">
        <v>0</v>
      </c>
    </row>
    <row r="382" spans="2:11" x14ac:dyDescent="0.25">
      <c r="B382" s="47">
        <v>378</v>
      </c>
      <c r="C382" s="47" t="s">
        <v>60</v>
      </c>
      <c r="D382" s="48">
        <v>11222</v>
      </c>
      <c r="E382" s="47">
        <v>8</v>
      </c>
      <c r="F382" s="47">
        <v>1</v>
      </c>
      <c r="G382" s="49">
        <v>15750</v>
      </c>
      <c r="H382" s="49">
        <v>10200</v>
      </c>
      <c r="I382" s="47">
        <v>70</v>
      </c>
      <c r="J382" s="47">
        <v>275</v>
      </c>
      <c r="K382" s="47">
        <v>0</v>
      </c>
    </row>
    <row r="383" spans="2:11" x14ac:dyDescent="0.25">
      <c r="B383" s="47">
        <v>379</v>
      </c>
      <c r="C383" s="47" t="s">
        <v>60</v>
      </c>
      <c r="D383" s="48">
        <v>14012</v>
      </c>
      <c r="E383" s="47">
        <v>8</v>
      </c>
      <c r="F383" s="47">
        <v>1</v>
      </c>
      <c r="G383" s="49">
        <v>19650</v>
      </c>
      <c r="H383" s="49">
        <v>13050</v>
      </c>
      <c r="I383" s="47">
        <v>70</v>
      </c>
      <c r="J383" s="47">
        <v>102</v>
      </c>
      <c r="K383" s="47">
        <v>0</v>
      </c>
    </row>
    <row r="384" spans="2:11" x14ac:dyDescent="0.25">
      <c r="B384" s="47">
        <v>380</v>
      </c>
      <c r="C384" s="47" t="s">
        <v>60</v>
      </c>
      <c r="D384" s="48">
        <v>15029</v>
      </c>
      <c r="E384" s="47">
        <v>12</v>
      </c>
      <c r="F384" s="47">
        <v>1</v>
      </c>
      <c r="G384" s="49">
        <v>21000</v>
      </c>
      <c r="H384" s="49">
        <v>13500</v>
      </c>
      <c r="I384" s="47">
        <v>70</v>
      </c>
      <c r="J384" s="47">
        <v>82</v>
      </c>
      <c r="K384" s="47">
        <v>0</v>
      </c>
    </row>
    <row r="385" spans="2:11" x14ac:dyDescent="0.25">
      <c r="B385" s="47">
        <v>381</v>
      </c>
      <c r="C385" s="47" t="s">
        <v>59</v>
      </c>
      <c r="D385" s="48">
        <v>16998</v>
      </c>
      <c r="E385" s="47">
        <v>17</v>
      </c>
      <c r="F385" s="47">
        <v>1</v>
      </c>
      <c r="G385" s="49">
        <v>27000</v>
      </c>
      <c r="H385" s="49">
        <v>18000</v>
      </c>
      <c r="I385" s="47">
        <v>70</v>
      </c>
      <c r="J385" s="47">
        <v>192</v>
      </c>
      <c r="K385" s="47">
        <v>1</v>
      </c>
    </row>
    <row r="386" spans="2:11" x14ac:dyDescent="0.25">
      <c r="B386" s="47">
        <v>382</v>
      </c>
      <c r="C386" s="47" t="s">
        <v>59</v>
      </c>
      <c r="D386" s="48">
        <v>21843</v>
      </c>
      <c r="E386" s="47">
        <v>12</v>
      </c>
      <c r="F386" s="47">
        <v>1</v>
      </c>
      <c r="G386" s="49">
        <v>24000</v>
      </c>
      <c r="H386" s="49">
        <v>15750</v>
      </c>
      <c r="I386" s="47">
        <v>70</v>
      </c>
      <c r="J386" s="47">
        <v>120</v>
      </c>
      <c r="K386" s="47">
        <v>1</v>
      </c>
    </row>
    <row r="387" spans="2:11" x14ac:dyDescent="0.25">
      <c r="B387" s="47">
        <v>456</v>
      </c>
      <c r="C387" s="47" t="s">
        <v>59</v>
      </c>
      <c r="D387" s="48">
        <v>21840</v>
      </c>
      <c r="E387" s="47">
        <v>19</v>
      </c>
      <c r="F387" s="47">
        <v>3</v>
      </c>
      <c r="G387" s="49">
        <v>75000</v>
      </c>
      <c r="H387" s="49">
        <v>42510</v>
      </c>
      <c r="I387" s="47">
        <v>65</v>
      </c>
      <c r="J387" s="47">
        <v>54</v>
      </c>
      <c r="K387" s="47">
        <v>0</v>
      </c>
    </row>
    <row r="388" spans="2:11" x14ac:dyDescent="0.25">
      <c r="B388" s="47">
        <v>384</v>
      </c>
      <c r="C388" s="47" t="s">
        <v>60</v>
      </c>
      <c r="D388" s="48">
        <v>20404</v>
      </c>
      <c r="E388" s="47">
        <v>12</v>
      </c>
      <c r="F388" s="47">
        <v>1</v>
      </c>
      <c r="G388" s="49">
        <v>20850</v>
      </c>
      <c r="H388" s="49">
        <v>13050</v>
      </c>
      <c r="I388" s="47">
        <v>70</v>
      </c>
      <c r="J388" s="47">
        <v>127</v>
      </c>
      <c r="K388" s="47">
        <v>1</v>
      </c>
    </row>
    <row r="389" spans="2:11" x14ac:dyDescent="0.25">
      <c r="B389" s="47">
        <v>385</v>
      </c>
      <c r="C389" s="47" t="s">
        <v>59</v>
      </c>
      <c r="D389" s="48">
        <v>11232</v>
      </c>
      <c r="E389" s="47">
        <v>12</v>
      </c>
      <c r="F389" s="47">
        <v>2</v>
      </c>
      <c r="G389" s="49">
        <v>30000</v>
      </c>
      <c r="H389" s="49">
        <v>15750</v>
      </c>
      <c r="I389" s="47">
        <v>69</v>
      </c>
      <c r="J389" s="47">
        <v>348</v>
      </c>
      <c r="K389" s="47">
        <v>0</v>
      </c>
    </row>
    <row r="390" spans="2:11" x14ac:dyDescent="0.25">
      <c r="B390" s="47">
        <v>386</v>
      </c>
      <c r="C390" s="47" t="s">
        <v>59</v>
      </c>
      <c r="D390" s="48">
        <v>12649</v>
      </c>
      <c r="E390" s="47">
        <v>8</v>
      </c>
      <c r="F390" s="47">
        <v>2</v>
      </c>
      <c r="G390" s="49">
        <v>28500</v>
      </c>
      <c r="H390" s="49">
        <v>15750</v>
      </c>
      <c r="I390" s="47">
        <v>69</v>
      </c>
      <c r="J390" s="47">
        <v>174</v>
      </c>
      <c r="K390" s="47">
        <v>0</v>
      </c>
    </row>
    <row r="391" spans="2:11" x14ac:dyDescent="0.25">
      <c r="B391" s="47">
        <v>387</v>
      </c>
      <c r="C391" s="47" t="s">
        <v>59</v>
      </c>
      <c r="D391" s="48">
        <v>23776</v>
      </c>
      <c r="E391" s="47">
        <v>19</v>
      </c>
      <c r="F391" s="47">
        <v>3</v>
      </c>
      <c r="G391" s="49">
        <v>65000</v>
      </c>
      <c r="H391" s="49">
        <v>31980</v>
      </c>
      <c r="I391" s="47">
        <v>69</v>
      </c>
      <c r="J391" s="47">
        <v>74</v>
      </c>
      <c r="K391" s="47">
        <v>0</v>
      </c>
    </row>
    <row r="392" spans="2:11" x14ac:dyDescent="0.25">
      <c r="B392" s="47">
        <v>388</v>
      </c>
      <c r="C392" s="47" t="s">
        <v>59</v>
      </c>
      <c r="D392" s="48">
        <v>21552</v>
      </c>
      <c r="E392" s="47">
        <v>14</v>
      </c>
      <c r="F392" s="47">
        <v>1</v>
      </c>
      <c r="G392" s="49">
        <v>30150</v>
      </c>
      <c r="H392" s="49">
        <v>16500</v>
      </c>
      <c r="I392" s="47">
        <v>69</v>
      </c>
      <c r="J392" s="47">
        <v>110</v>
      </c>
      <c r="K392" s="47">
        <v>0</v>
      </c>
    </row>
    <row r="393" spans="2:11" x14ac:dyDescent="0.25">
      <c r="B393" s="47">
        <v>389</v>
      </c>
      <c r="C393" s="47" t="s">
        <v>59</v>
      </c>
      <c r="D393" s="48">
        <v>21655</v>
      </c>
      <c r="E393" s="47">
        <v>19</v>
      </c>
      <c r="F393" s="47">
        <v>3</v>
      </c>
      <c r="G393" s="49">
        <v>66875</v>
      </c>
      <c r="H393" s="49">
        <v>32490</v>
      </c>
      <c r="I393" s="47">
        <v>69</v>
      </c>
      <c r="J393" s="47">
        <v>81</v>
      </c>
      <c r="K393" s="47">
        <v>0</v>
      </c>
    </row>
    <row r="394" spans="2:11" x14ac:dyDescent="0.25">
      <c r="B394" s="47">
        <v>390</v>
      </c>
      <c r="C394" s="47" t="s">
        <v>60</v>
      </c>
      <c r="D394" s="48">
        <v>25151</v>
      </c>
      <c r="E394" s="47">
        <v>15</v>
      </c>
      <c r="F394" s="47">
        <v>1</v>
      </c>
      <c r="G394" s="49">
        <v>24150</v>
      </c>
      <c r="H394" s="49">
        <v>13500</v>
      </c>
      <c r="I394" s="47">
        <v>69</v>
      </c>
      <c r="J394" s="47">
        <v>7</v>
      </c>
      <c r="K394" s="47">
        <v>0</v>
      </c>
    </row>
    <row r="395" spans="2:11" x14ac:dyDescent="0.25">
      <c r="B395" s="47">
        <v>391</v>
      </c>
      <c r="C395" s="47" t="s">
        <v>60</v>
      </c>
      <c r="D395" s="48">
        <v>25215</v>
      </c>
      <c r="E395" s="47">
        <v>12</v>
      </c>
      <c r="F395" s="47">
        <v>1</v>
      </c>
      <c r="G395" s="49">
        <v>24450</v>
      </c>
      <c r="H395" s="49">
        <v>12450</v>
      </c>
      <c r="I395" s="47">
        <v>69</v>
      </c>
      <c r="J395" s="47">
        <v>12</v>
      </c>
      <c r="K395" s="47">
        <v>0</v>
      </c>
    </row>
    <row r="396" spans="2:11" x14ac:dyDescent="0.25">
      <c r="B396" s="47">
        <v>392</v>
      </c>
      <c r="C396" s="47" t="s">
        <v>60</v>
      </c>
      <c r="D396" s="48">
        <v>25700</v>
      </c>
      <c r="E396" s="47">
        <v>12</v>
      </c>
      <c r="F396" s="47">
        <v>1</v>
      </c>
      <c r="G396" s="49">
        <v>21600</v>
      </c>
      <c r="H396" s="49">
        <v>12000</v>
      </c>
      <c r="I396" s="47">
        <v>69</v>
      </c>
      <c r="J396" s="47">
        <v>0</v>
      </c>
      <c r="K396" s="47">
        <v>0</v>
      </c>
    </row>
    <row r="397" spans="2:11" x14ac:dyDescent="0.25">
      <c r="B397" s="47">
        <v>393</v>
      </c>
      <c r="C397" s="47" t="s">
        <v>60</v>
      </c>
      <c r="D397" s="48">
        <v>25378</v>
      </c>
      <c r="E397" s="47">
        <v>12</v>
      </c>
      <c r="F397" s="47">
        <v>1</v>
      </c>
      <c r="G397" s="49">
        <v>27900</v>
      </c>
      <c r="H397" s="49">
        <v>12450</v>
      </c>
      <c r="I397" s="47">
        <v>69</v>
      </c>
      <c r="J397" s="47">
        <v>0</v>
      </c>
      <c r="K397" s="47">
        <v>0</v>
      </c>
    </row>
    <row r="398" spans="2:11" x14ac:dyDescent="0.25">
      <c r="B398" s="47">
        <v>394</v>
      </c>
      <c r="C398" s="47" t="s">
        <v>60</v>
      </c>
      <c r="D398" s="48">
        <v>25603</v>
      </c>
      <c r="E398" s="47">
        <v>8</v>
      </c>
      <c r="F398" s="47">
        <v>1</v>
      </c>
      <c r="G398" s="49">
        <v>29100</v>
      </c>
      <c r="H398" s="49">
        <v>12450</v>
      </c>
      <c r="I398" s="47">
        <v>69</v>
      </c>
      <c r="J398" s="47">
        <v>17</v>
      </c>
      <c r="K398" s="47">
        <v>0</v>
      </c>
    </row>
    <row r="399" spans="2:11" x14ac:dyDescent="0.25">
      <c r="B399" s="47">
        <v>395</v>
      </c>
      <c r="C399" s="47" t="s">
        <v>60</v>
      </c>
      <c r="D399" s="48">
        <v>25636</v>
      </c>
      <c r="E399" s="47">
        <v>12</v>
      </c>
      <c r="F399" s="47">
        <v>1</v>
      </c>
      <c r="G399" s="49">
        <v>22650</v>
      </c>
      <c r="H399" s="49">
        <v>11250</v>
      </c>
      <c r="I399" s="47">
        <v>69</v>
      </c>
      <c r="J399" s="47">
        <v>2</v>
      </c>
      <c r="K399" s="47">
        <v>0</v>
      </c>
    </row>
    <row r="400" spans="2:11" x14ac:dyDescent="0.25">
      <c r="B400" s="47">
        <v>396</v>
      </c>
      <c r="C400" s="47" t="s">
        <v>60</v>
      </c>
      <c r="D400" s="48">
        <v>25797</v>
      </c>
      <c r="E400" s="47">
        <v>12</v>
      </c>
      <c r="F400" s="47">
        <v>1</v>
      </c>
      <c r="G400" s="49">
        <v>20850</v>
      </c>
      <c r="H400" s="49">
        <v>11250</v>
      </c>
      <c r="I400" s="47">
        <v>69</v>
      </c>
      <c r="J400" s="47">
        <v>0</v>
      </c>
      <c r="K400" s="47">
        <v>0</v>
      </c>
    </row>
    <row r="401" spans="2:11" x14ac:dyDescent="0.25">
      <c r="B401" s="47">
        <v>397</v>
      </c>
      <c r="C401" s="47" t="s">
        <v>60</v>
      </c>
      <c r="D401" s="48">
        <v>25585</v>
      </c>
      <c r="E401" s="47">
        <v>12</v>
      </c>
      <c r="F401" s="47">
        <v>1</v>
      </c>
      <c r="G401" s="49">
        <v>22950</v>
      </c>
      <c r="H401" s="49">
        <v>12300</v>
      </c>
      <c r="I401" s="47">
        <v>69</v>
      </c>
      <c r="J401" s="47">
        <v>5</v>
      </c>
      <c r="K401" s="47">
        <v>0</v>
      </c>
    </row>
    <row r="402" spans="2:11" x14ac:dyDescent="0.25">
      <c r="B402" s="47">
        <v>398</v>
      </c>
      <c r="C402" s="47" t="s">
        <v>60</v>
      </c>
      <c r="D402" s="48">
        <v>25893</v>
      </c>
      <c r="E402" s="47">
        <v>12</v>
      </c>
      <c r="F402" s="47">
        <v>1</v>
      </c>
      <c r="G402" s="49">
        <v>30600</v>
      </c>
      <c r="H402" s="49">
        <v>12450</v>
      </c>
      <c r="I402" s="47">
        <v>69</v>
      </c>
      <c r="J402" s="47">
        <v>5</v>
      </c>
      <c r="K402" s="47">
        <v>0</v>
      </c>
    </row>
    <row r="403" spans="2:11" x14ac:dyDescent="0.25">
      <c r="B403" s="47">
        <v>399</v>
      </c>
      <c r="C403" s="47" t="s">
        <v>60</v>
      </c>
      <c r="D403" s="48">
        <v>25605</v>
      </c>
      <c r="E403" s="47">
        <v>12</v>
      </c>
      <c r="F403" s="47">
        <v>1</v>
      </c>
      <c r="G403" s="49">
        <v>20400</v>
      </c>
      <c r="H403" s="49">
        <v>11250</v>
      </c>
      <c r="I403" s="47">
        <v>69</v>
      </c>
      <c r="J403" s="47">
        <v>0</v>
      </c>
      <c r="K403" s="47">
        <v>0</v>
      </c>
    </row>
    <row r="404" spans="2:11" x14ac:dyDescent="0.25">
      <c r="B404" s="47">
        <v>400</v>
      </c>
      <c r="C404" s="47" t="s">
        <v>60</v>
      </c>
      <c r="D404" s="48">
        <v>25421</v>
      </c>
      <c r="E404" s="47">
        <v>12</v>
      </c>
      <c r="F404" s="47">
        <v>1</v>
      </c>
      <c r="G404" s="49">
        <v>23850</v>
      </c>
      <c r="H404" s="49">
        <v>12750</v>
      </c>
      <c r="I404" s="47">
        <v>69</v>
      </c>
      <c r="J404" s="47">
        <v>20</v>
      </c>
      <c r="K404" s="47">
        <v>0</v>
      </c>
    </row>
    <row r="405" spans="2:11" x14ac:dyDescent="0.25">
      <c r="B405" s="47">
        <v>401</v>
      </c>
      <c r="C405" s="47" t="s">
        <v>60</v>
      </c>
      <c r="D405" s="48">
        <v>25641</v>
      </c>
      <c r="E405" s="47">
        <v>12</v>
      </c>
      <c r="F405" s="47">
        <v>1</v>
      </c>
      <c r="G405" s="49">
        <v>22800</v>
      </c>
      <c r="H405" s="49">
        <v>11250</v>
      </c>
      <c r="I405" s="47">
        <v>69</v>
      </c>
      <c r="J405" s="47">
        <v>0</v>
      </c>
      <c r="K405" s="47">
        <v>0</v>
      </c>
    </row>
    <row r="406" spans="2:11" x14ac:dyDescent="0.25">
      <c r="B406" s="47">
        <v>402</v>
      </c>
      <c r="C406" s="47" t="s">
        <v>60</v>
      </c>
      <c r="D406" s="48">
        <v>25606</v>
      </c>
      <c r="E406" s="47">
        <v>12</v>
      </c>
      <c r="F406" s="47">
        <v>1</v>
      </c>
      <c r="G406" s="49">
        <v>20700</v>
      </c>
      <c r="H406" s="49">
        <v>11250</v>
      </c>
      <c r="I406" s="47">
        <v>69</v>
      </c>
      <c r="J406" s="47">
        <v>2</v>
      </c>
      <c r="K406" s="47">
        <v>0</v>
      </c>
    </row>
    <row r="407" spans="2:11" x14ac:dyDescent="0.25">
      <c r="B407" s="47">
        <v>403</v>
      </c>
      <c r="C407" s="47" t="s">
        <v>60</v>
      </c>
      <c r="D407" s="48">
        <v>25686</v>
      </c>
      <c r="E407" s="47">
        <v>12</v>
      </c>
      <c r="F407" s="47">
        <v>1</v>
      </c>
      <c r="G407" s="49">
        <v>21300</v>
      </c>
      <c r="H407" s="49">
        <v>11250</v>
      </c>
      <c r="I407" s="47">
        <v>69</v>
      </c>
      <c r="J407" s="47">
        <v>3</v>
      </c>
      <c r="K407" s="47">
        <v>1</v>
      </c>
    </row>
    <row r="408" spans="2:11" x14ac:dyDescent="0.25">
      <c r="B408" s="47">
        <v>404</v>
      </c>
      <c r="C408" s="47" t="s">
        <v>60</v>
      </c>
      <c r="D408" s="48">
        <v>19480</v>
      </c>
      <c r="E408" s="47">
        <v>12</v>
      </c>
      <c r="F408" s="47">
        <v>1</v>
      </c>
      <c r="G408" s="49">
        <v>24300</v>
      </c>
      <c r="H408" s="49">
        <v>15000</v>
      </c>
      <c r="I408" s="47">
        <v>69</v>
      </c>
      <c r="J408" s="47">
        <v>121</v>
      </c>
      <c r="K408" s="47">
        <v>1</v>
      </c>
    </row>
    <row r="409" spans="2:11" x14ac:dyDescent="0.25">
      <c r="B409" s="47">
        <v>405</v>
      </c>
      <c r="C409" s="47" t="s">
        <v>60</v>
      </c>
      <c r="D409" s="48">
        <v>16265</v>
      </c>
      <c r="E409" s="47">
        <v>12</v>
      </c>
      <c r="F409" s="47">
        <v>1</v>
      </c>
      <c r="G409" s="49">
        <v>19650</v>
      </c>
      <c r="H409" s="49">
        <v>13950</v>
      </c>
      <c r="I409" s="47">
        <v>69</v>
      </c>
      <c r="J409" s="47">
        <v>133</v>
      </c>
      <c r="K409" s="47">
        <v>1</v>
      </c>
    </row>
    <row r="410" spans="2:11" x14ac:dyDescent="0.25">
      <c r="B410" s="47">
        <v>406</v>
      </c>
      <c r="C410" s="47" t="s">
        <v>59</v>
      </c>
      <c r="D410" s="48">
        <v>24020</v>
      </c>
      <c r="E410" s="47">
        <v>17</v>
      </c>
      <c r="F410" s="47">
        <v>3</v>
      </c>
      <c r="G410" s="49">
        <v>60000</v>
      </c>
      <c r="H410" s="49">
        <v>32490</v>
      </c>
      <c r="I410" s="47">
        <v>68</v>
      </c>
      <c r="J410" s="47">
        <v>17</v>
      </c>
      <c r="K410" s="47">
        <v>0</v>
      </c>
    </row>
    <row r="411" spans="2:11" x14ac:dyDescent="0.25">
      <c r="B411" s="47">
        <v>407</v>
      </c>
      <c r="C411" s="47" t="s">
        <v>59</v>
      </c>
      <c r="D411" s="48">
        <v>23991</v>
      </c>
      <c r="E411" s="47">
        <v>15</v>
      </c>
      <c r="F411" s="47">
        <v>1</v>
      </c>
      <c r="G411" s="49">
        <v>30300</v>
      </c>
      <c r="H411" s="49">
        <v>15750</v>
      </c>
      <c r="I411" s="47">
        <v>68</v>
      </c>
      <c r="J411" s="47">
        <v>55</v>
      </c>
      <c r="K411" s="47">
        <v>0</v>
      </c>
    </row>
    <row r="412" spans="2:11" x14ac:dyDescent="0.25">
      <c r="B412" s="47">
        <v>408</v>
      </c>
      <c r="C412" s="47" t="s">
        <v>59</v>
      </c>
      <c r="D412" s="48">
        <v>23419</v>
      </c>
      <c r="E412" s="47">
        <v>19</v>
      </c>
      <c r="F412" s="47">
        <v>3</v>
      </c>
      <c r="G412" s="49">
        <v>61250</v>
      </c>
      <c r="H412" s="49">
        <v>33000</v>
      </c>
      <c r="I412" s="47">
        <v>68</v>
      </c>
      <c r="J412" s="47">
        <v>9</v>
      </c>
      <c r="K412" s="47">
        <v>0</v>
      </c>
    </row>
    <row r="413" spans="2:11" x14ac:dyDescent="0.25">
      <c r="B413" s="47">
        <v>409</v>
      </c>
      <c r="C413" s="47" t="s">
        <v>59</v>
      </c>
      <c r="D413" s="48">
        <v>22971</v>
      </c>
      <c r="E413" s="47">
        <v>19</v>
      </c>
      <c r="F413" s="47">
        <v>1</v>
      </c>
      <c r="G413" s="49">
        <v>36000</v>
      </c>
      <c r="H413" s="49">
        <v>19500</v>
      </c>
      <c r="I413" s="47">
        <v>68</v>
      </c>
      <c r="J413" s="47">
        <v>21</v>
      </c>
      <c r="K413" s="47">
        <v>0</v>
      </c>
    </row>
    <row r="414" spans="2:11" x14ac:dyDescent="0.25">
      <c r="B414" s="47">
        <v>410</v>
      </c>
      <c r="C414" s="47" t="s">
        <v>60</v>
      </c>
      <c r="D414" s="48">
        <v>15350</v>
      </c>
      <c r="E414" s="47">
        <v>8</v>
      </c>
      <c r="F414" s="47">
        <v>1</v>
      </c>
      <c r="G414" s="49">
        <v>25200</v>
      </c>
      <c r="H414" s="49">
        <v>18750</v>
      </c>
      <c r="I414" s="47">
        <v>68</v>
      </c>
      <c r="J414" s="47">
        <v>344</v>
      </c>
      <c r="K414" s="47">
        <v>0</v>
      </c>
    </row>
    <row r="415" spans="2:11" x14ac:dyDescent="0.25">
      <c r="B415" s="47">
        <v>411</v>
      </c>
      <c r="C415" s="47" t="s">
        <v>60</v>
      </c>
      <c r="D415" s="48">
        <v>11556</v>
      </c>
      <c r="E415" s="47">
        <v>12</v>
      </c>
      <c r="F415" s="47">
        <v>1</v>
      </c>
      <c r="G415" s="49">
        <v>16200</v>
      </c>
      <c r="H415" s="49">
        <v>10200</v>
      </c>
      <c r="I415" s="47">
        <v>68</v>
      </c>
      <c r="J415" s="47">
        <v>180</v>
      </c>
      <c r="K415" s="47">
        <v>0</v>
      </c>
    </row>
    <row r="416" spans="2:11" x14ac:dyDescent="0.25">
      <c r="B416" s="47">
        <v>412</v>
      </c>
      <c r="C416" s="47" t="s">
        <v>60</v>
      </c>
      <c r="D416" s="48">
        <v>25735</v>
      </c>
      <c r="E416" s="47">
        <v>12</v>
      </c>
      <c r="F416" s="47">
        <v>1</v>
      </c>
      <c r="G416" s="49">
        <v>22800</v>
      </c>
      <c r="H416" s="49">
        <v>11250</v>
      </c>
      <c r="I416" s="47">
        <v>68</v>
      </c>
      <c r="J416" s="47">
        <v>2</v>
      </c>
      <c r="K416" s="47">
        <v>0</v>
      </c>
    </row>
    <row r="417" spans="2:11" x14ac:dyDescent="0.25">
      <c r="B417" s="47">
        <v>413</v>
      </c>
      <c r="C417" s="47" t="s">
        <v>60</v>
      </c>
      <c r="D417" s="48">
        <v>24179</v>
      </c>
      <c r="E417" s="47">
        <v>16</v>
      </c>
      <c r="F417" s="47">
        <v>3</v>
      </c>
      <c r="G417" s="49">
        <v>43500</v>
      </c>
      <c r="H417" s="49">
        <v>19500</v>
      </c>
      <c r="I417" s="47">
        <v>68</v>
      </c>
      <c r="J417" s="47">
        <v>11</v>
      </c>
      <c r="K417" s="47">
        <v>0</v>
      </c>
    </row>
    <row r="418" spans="2:11" x14ac:dyDescent="0.25">
      <c r="B418" s="47">
        <v>414</v>
      </c>
      <c r="C418" s="47" t="s">
        <v>59</v>
      </c>
      <c r="D418" s="48">
        <v>22289</v>
      </c>
      <c r="E418" s="47">
        <v>8</v>
      </c>
      <c r="F418" s="47">
        <v>2</v>
      </c>
      <c r="G418" s="49">
        <v>30300</v>
      </c>
      <c r="H418" s="49">
        <v>15750</v>
      </c>
      <c r="I418" s="47">
        <v>68</v>
      </c>
      <c r="J418" s="47">
        <v>155</v>
      </c>
      <c r="K418" s="47">
        <v>1</v>
      </c>
    </row>
    <row r="419" spans="2:11" x14ac:dyDescent="0.25">
      <c r="B419" s="47">
        <v>415</v>
      </c>
      <c r="C419" s="47" t="s">
        <v>59</v>
      </c>
      <c r="D419" s="48">
        <v>23133</v>
      </c>
      <c r="E419" s="47">
        <v>15</v>
      </c>
      <c r="F419" s="47">
        <v>1</v>
      </c>
      <c r="G419" s="49">
        <v>31950</v>
      </c>
      <c r="H419" s="49">
        <v>15750</v>
      </c>
      <c r="I419" s="47">
        <v>68</v>
      </c>
      <c r="J419" s="47">
        <v>70</v>
      </c>
      <c r="K419" s="47">
        <v>1</v>
      </c>
    </row>
    <row r="420" spans="2:11" x14ac:dyDescent="0.25">
      <c r="B420" s="47">
        <v>416</v>
      </c>
      <c r="C420" s="47" t="s">
        <v>59</v>
      </c>
      <c r="D420" s="48">
        <v>23758</v>
      </c>
      <c r="E420" s="47">
        <v>15</v>
      </c>
      <c r="F420" s="47">
        <v>1</v>
      </c>
      <c r="G420" s="49">
        <v>35250</v>
      </c>
      <c r="H420" s="49">
        <v>13500</v>
      </c>
      <c r="I420" s="47">
        <v>67</v>
      </c>
      <c r="J420" s="47">
        <v>6</v>
      </c>
      <c r="K420" s="47">
        <v>0</v>
      </c>
    </row>
    <row r="421" spans="2:11" x14ac:dyDescent="0.25">
      <c r="B421" s="47">
        <v>417</v>
      </c>
      <c r="C421" s="47" t="s">
        <v>59</v>
      </c>
      <c r="D421" s="48">
        <v>24675</v>
      </c>
      <c r="E421" s="47">
        <v>15</v>
      </c>
      <c r="F421" s="47">
        <v>1</v>
      </c>
      <c r="G421" s="49">
        <v>37800</v>
      </c>
      <c r="H421" s="49">
        <v>15000</v>
      </c>
      <c r="I421" s="47">
        <v>67</v>
      </c>
      <c r="J421" s="47">
        <v>36</v>
      </c>
      <c r="K421" s="47">
        <v>0</v>
      </c>
    </row>
    <row r="422" spans="2:11" x14ac:dyDescent="0.25">
      <c r="B422" s="47">
        <v>418</v>
      </c>
      <c r="C422" s="47" t="s">
        <v>59</v>
      </c>
      <c r="D422" s="48">
        <v>23898</v>
      </c>
      <c r="E422" s="47">
        <v>15</v>
      </c>
      <c r="F422" s="47">
        <v>1</v>
      </c>
      <c r="G422" s="49">
        <v>31200</v>
      </c>
      <c r="H422" s="49">
        <v>15750</v>
      </c>
      <c r="I422" s="47">
        <v>67</v>
      </c>
      <c r="J422" s="47">
        <v>46</v>
      </c>
      <c r="K422" s="47">
        <v>0</v>
      </c>
    </row>
    <row r="423" spans="2:11" x14ac:dyDescent="0.25">
      <c r="B423" s="47">
        <v>419</v>
      </c>
      <c r="C423" s="47" t="s">
        <v>59</v>
      </c>
      <c r="D423" s="48">
        <v>23670</v>
      </c>
      <c r="E423" s="47">
        <v>15</v>
      </c>
      <c r="F423" s="47">
        <v>1</v>
      </c>
      <c r="G423" s="49">
        <v>29400</v>
      </c>
      <c r="H423" s="49">
        <v>16500</v>
      </c>
      <c r="I423" s="47">
        <v>67</v>
      </c>
      <c r="J423" s="47">
        <v>68</v>
      </c>
      <c r="K423" s="47">
        <v>0</v>
      </c>
    </row>
    <row r="424" spans="2:11" x14ac:dyDescent="0.25">
      <c r="B424" s="47">
        <v>420</v>
      </c>
      <c r="C424" s="47" t="s">
        <v>59</v>
      </c>
      <c r="D424" s="48">
        <v>21017</v>
      </c>
      <c r="E424" s="47">
        <v>19</v>
      </c>
      <c r="F424" s="47">
        <v>3</v>
      </c>
      <c r="G424" s="49">
        <v>70000</v>
      </c>
      <c r="H424" s="49">
        <v>35040</v>
      </c>
      <c r="I424" s="47">
        <v>67</v>
      </c>
      <c r="J424" s="47">
        <v>75</v>
      </c>
      <c r="K424" s="47">
        <v>0</v>
      </c>
    </row>
    <row r="425" spans="2:11" x14ac:dyDescent="0.25">
      <c r="B425" s="47">
        <v>421</v>
      </c>
      <c r="C425" s="47" t="s">
        <v>59</v>
      </c>
      <c r="D425" s="48">
        <v>22586</v>
      </c>
      <c r="E425" s="47">
        <v>15</v>
      </c>
      <c r="F425" s="47">
        <v>1</v>
      </c>
      <c r="G425" s="49">
        <v>33900</v>
      </c>
      <c r="H425" s="49">
        <v>15750</v>
      </c>
      <c r="I425" s="47">
        <v>67</v>
      </c>
      <c r="J425" s="47">
        <v>96</v>
      </c>
      <c r="K425" s="47">
        <v>0</v>
      </c>
    </row>
    <row r="426" spans="2:11" x14ac:dyDescent="0.25">
      <c r="B426" s="47">
        <v>422</v>
      </c>
      <c r="C426" s="47" t="s">
        <v>59</v>
      </c>
      <c r="D426" s="48">
        <v>23212</v>
      </c>
      <c r="E426" s="47">
        <v>15</v>
      </c>
      <c r="F426" s="47">
        <v>1</v>
      </c>
      <c r="G426" s="49">
        <v>27150</v>
      </c>
      <c r="H426" s="49">
        <v>16500</v>
      </c>
      <c r="I426" s="47">
        <v>67</v>
      </c>
      <c r="J426" s="47">
        <v>78</v>
      </c>
      <c r="K426" s="47">
        <v>0</v>
      </c>
    </row>
    <row r="427" spans="2:11" x14ac:dyDescent="0.25">
      <c r="B427" s="47">
        <v>423</v>
      </c>
      <c r="C427" s="47" t="s">
        <v>60</v>
      </c>
      <c r="D427" s="48">
        <v>13266</v>
      </c>
      <c r="E427" s="47">
        <v>12</v>
      </c>
      <c r="F427" s="47">
        <v>1</v>
      </c>
      <c r="G427" s="49">
        <v>22200</v>
      </c>
      <c r="H427" s="49">
        <v>13800</v>
      </c>
      <c r="I427" s="47">
        <v>67</v>
      </c>
      <c r="J427" s="47">
        <v>196</v>
      </c>
      <c r="K427" s="47">
        <v>0</v>
      </c>
    </row>
    <row r="428" spans="2:11" x14ac:dyDescent="0.25">
      <c r="B428" s="47">
        <v>424</v>
      </c>
      <c r="C428" s="47" t="s">
        <v>60</v>
      </c>
      <c r="D428" s="48">
        <v>24294</v>
      </c>
      <c r="E428" s="47">
        <v>15</v>
      </c>
      <c r="F428" s="47">
        <v>1</v>
      </c>
      <c r="G428" s="49">
        <v>31350</v>
      </c>
      <c r="H428" s="49">
        <v>11100</v>
      </c>
      <c r="I428" s="47">
        <v>67</v>
      </c>
      <c r="J428" s="47">
        <v>47</v>
      </c>
      <c r="K428" s="47">
        <v>0</v>
      </c>
    </row>
    <row r="429" spans="2:11" x14ac:dyDescent="0.25">
      <c r="B429" s="47">
        <v>425</v>
      </c>
      <c r="C429" s="47" t="s">
        <v>60</v>
      </c>
      <c r="D429" s="48">
        <v>15367</v>
      </c>
      <c r="E429" s="47">
        <v>12</v>
      </c>
      <c r="F429" s="47">
        <v>1</v>
      </c>
      <c r="G429" s="49">
        <v>20850</v>
      </c>
      <c r="H429" s="49">
        <v>13500</v>
      </c>
      <c r="I429" s="47">
        <v>67</v>
      </c>
      <c r="J429" s="47">
        <v>181</v>
      </c>
      <c r="K429" s="47">
        <v>0</v>
      </c>
    </row>
    <row r="430" spans="2:11" x14ac:dyDescent="0.25">
      <c r="B430" s="47">
        <v>426</v>
      </c>
      <c r="C430" s="47" t="s">
        <v>59</v>
      </c>
      <c r="D430" s="48">
        <v>19294</v>
      </c>
      <c r="E430" s="47">
        <v>16</v>
      </c>
      <c r="F430" s="47">
        <v>1</v>
      </c>
      <c r="G430" s="49">
        <v>33300</v>
      </c>
      <c r="H430" s="49">
        <v>17490</v>
      </c>
      <c r="I430" s="47">
        <v>67</v>
      </c>
      <c r="J430" s="47">
        <v>120</v>
      </c>
      <c r="K430" s="47">
        <v>1</v>
      </c>
    </row>
    <row r="431" spans="2:11" x14ac:dyDescent="0.25">
      <c r="B431" s="47">
        <v>427</v>
      </c>
      <c r="C431" s="47" t="s">
        <v>59</v>
      </c>
      <c r="D431" s="48">
        <v>15452</v>
      </c>
      <c r="E431" s="47">
        <v>8</v>
      </c>
      <c r="F431" s="47">
        <v>1</v>
      </c>
      <c r="G431" s="49">
        <v>26250</v>
      </c>
      <c r="H431" s="49">
        <v>16050</v>
      </c>
      <c r="I431" s="47">
        <v>67</v>
      </c>
      <c r="J431" s="47">
        <v>97</v>
      </c>
      <c r="K431" s="47">
        <v>1</v>
      </c>
    </row>
    <row r="432" spans="2:11" x14ac:dyDescent="0.25">
      <c r="B432" s="47">
        <v>428</v>
      </c>
      <c r="C432" s="47" t="s">
        <v>59</v>
      </c>
      <c r="D432" s="48">
        <v>23435</v>
      </c>
      <c r="E432" s="47">
        <v>15</v>
      </c>
      <c r="F432" s="47">
        <v>1</v>
      </c>
      <c r="G432" s="49">
        <v>31950</v>
      </c>
      <c r="H432" s="49">
        <v>15750</v>
      </c>
      <c r="I432" s="47">
        <v>67</v>
      </c>
      <c r="J432" s="47">
        <v>58</v>
      </c>
      <c r="K432" s="47">
        <v>1</v>
      </c>
    </row>
    <row r="433" spans="2:11" x14ac:dyDescent="0.25">
      <c r="B433" s="47">
        <v>429</v>
      </c>
      <c r="C433" s="47" t="s">
        <v>59</v>
      </c>
      <c r="D433" s="48">
        <v>17027</v>
      </c>
      <c r="E433" s="47">
        <v>8</v>
      </c>
      <c r="F433" s="47">
        <v>2</v>
      </c>
      <c r="G433" s="49">
        <v>30000</v>
      </c>
      <c r="H433" s="49">
        <v>15750</v>
      </c>
      <c r="I433" s="47">
        <v>67</v>
      </c>
      <c r="J433" s="47">
        <v>305</v>
      </c>
      <c r="K433" s="47">
        <v>1</v>
      </c>
    </row>
    <row r="434" spans="2:11" x14ac:dyDescent="0.25">
      <c r="B434" s="47">
        <v>430</v>
      </c>
      <c r="C434" s="47" t="s">
        <v>59</v>
      </c>
      <c r="D434" s="48">
        <v>20574</v>
      </c>
      <c r="E434" s="47">
        <v>19</v>
      </c>
      <c r="F434" s="47">
        <v>3</v>
      </c>
      <c r="G434" s="49">
        <v>66250</v>
      </c>
      <c r="H434" s="49">
        <v>34980</v>
      </c>
      <c r="I434" s="47">
        <v>67</v>
      </c>
      <c r="J434" s="47">
        <v>99</v>
      </c>
      <c r="K434" s="47">
        <v>1</v>
      </c>
    </row>
    <row r="435" spans="2:11" x14ac:dyDescent="0.25">
      <c r="B435" s="47">
        <v>53</v>
      </c>
      <c r="C435" s="47" t="s">
        <v>59</v>
      </c>
      <c r="D435" s="48">
        <v>19835</v>
      </c>
      <c r="E435" s="47">
        <v>18</v>
      </c>
      <c r="F435" s="47">
        <v>3</v>
      </c>
      <c r="G435" s="49">
        <v>73750</v>
      </c>
      <c r="H435" s="49">
        <v>26250</v>
      </c>
      <c r="I435" s="47">
        <v>94</v>
      </c>
      <c r="J435" s="47">
        <v>56</v>
      </c>
      <c r="K435" s="47">
        <v>0</v>
      </c>
    </row>
    <row r="436" spans="2:11" x14ac:dyDescent="0.25">
      <c r="B436" s="47">
        <v>432</v>
      </c>
      <c r="C436" s="47" t="s">
        <v>59</v>
      </c>
      <c r="D436" s="48">
        <v>23448</v>
      </c>
      <c r="E436" s="47">
        <v>12</v>
      </c>
      <c r="F436" s="47">
        <v>1</v>
      </c>
      <c r="G436" s="49">
        <v>30750</v>
      </c>
      <c r="H436" s="49">
        <v>15000</v>
      </c>
      <c r="I436" s="47">
        <v>66</v>
      </c>
      <c r="J436" s="47">
        <v>56</v>
      </c>
      <c r="K436" s="47">
        <v>0</v>
      </c>
    </row>
    <row r="437" spans="2:11" x14ac:dyDescent="0.25">
      <c r="B437" s="47">
        <v>433</v>
      </c>
      <c r="C437" s="47" t="s">
        <v>59</v>
      </c>
      <c r="D437" s="48">
        <v>24426</v>
      </c>
      <c r="E437" s="47">
        <v>12</v>
      </c>
      <c r="F437" s="47">
        <v>1</v>
      </c>
      <c r="G437" s="49">
        <v>33540</v>
      </c>
      <c r="H437" s="49">
        <v>15750</v>
      </c>
      <c r="I437" s="47">
        <v>66</v>
      </c>
      <c r="J437" s="47">
        <v>47</v>
      </c>
      <c r="K437" s="47">
        <v>0</v>
      </c>
    </row>
    <row r="438" spans="2:11" x14ac:dyDescent="0.25">
      <c r="B438" s="47">
        <v>434</v>
      </c>
      <c r="C438" s="47" t="s">
        <v>59</v>
      </c>
      <c r="D438" s="48" t="e">
        <v>#NULL!</v>
      </c>
      <c r="E438" s="47">
        <v>16</v>
      </c>
      <c r="F438" s="47">
        <v>1</v>
      </c>
      <c r="G438" s="49">
        <v>34950</v>
      </c>
      <c r="H438" s="49">
        <v>20250</v>
      </c>
      <c r="I438" s="47">
        <v>66</v>
      </c>
      <c r="J438" s="47">
        <v>55</v>
      </c>
      <c r="K438" s="47">
        <v>0</v>
      </c>
    </row>
    <row r="439" spans="2:11" x14ac:dyDescent="0.25">
      <c r="B439" s="47">
        <v>435</v>
      </c>
      <c r="C439" s="47" t="s">
        <v>59</v>
      </c>
      <c r="D439" s="48">
        <v>23521</v>
      </c>
      <c r="E439" s="47">
        <v>15</v>
      </c>
      <c r="F439" s="47">
        <v>1</v>
      </c>
      <c r="G439" s="49">
        <v>40350</v>
      </c>
      <c r="H439" s="49">
        <v>16500</v>
      </c>
      <c r="I439" s="47">
        <v>66</v>
      </c>
      <c r="J439" s="47">
        <v>80</v>
      </c>
      <c r="K439" s="47">
        <v>0</v>
      </c>
    </row>
    <row r="440" spans="2:11" x14ac:dyDescent="0.25">
      <c r="B440" s="47">
        <v>436</v>
      </c>
      <c r="C440" s="47" t="s">
        <v>59</v>
      </c>
      <c r="D440" s="48">
        <v>23889</v>
      </c>
      <c r="E440" s="47">
        <v>12</v>
      </c>
      <c r="F440" s="47">
        <v>1</v>
      </c>
      <c r="G440" s="49">
        <v>30270</v>
      </c>
      <c r="H440" s="49">
        <v>15750</v>
      </c>
      <c r="I440" s="47">
        <v>66</v>
      </c>
      <c r="J440" s="47">
        <v>80</v>
      </c>
      <c r="K440" s="47">
        <v>0</v>
      </c>
    </row>
    <row r="441" spans="2:11" x14ac:dyDescent="0.25">
      <c r="B441" s="47">
        <v>437</v>
      </c>
      <c r="C441" s="47" t="s">
        <v>59</v>
      </c>
      <c r="D441" s="48">
        <v>12301</v>
      </c>
      <c r="E441" s="47">
        <v>8</v>
      </c>
      <c r="F441" s="47">
        <v>1</v>
      </c>
      <c r="G441" s="49">
        <v>26250</v>
      </c>
      <c r="H441" s="49">
        <v>16050</v>
      </c>
      <c r="I441" s="47">
        <v>66</v>
      </c>
      <c r="J441" s="47">
        <v>264</v>
      </c>
      <c r="K441" s="47">
        <v>0</v>
      </c>
    </row>
    <row r="442" spans="2:11" x14ac:dyDescent="0.25">
      <c r="B442" s="47">
        <v>438</v>
      </c>
      <c r="C442" s="47" t="s">
        <v>59</v>
      </c>
      <c r="D442" s="48">
        <v>23661</v>
      </c>
      <c r="E442" s="47">
        <v>15</v>
      </c>
      <c r="F442" s="47">
        <v>1</v>
      </c>
      <c r="G442" s="49">
        <v>32400</v>
      </c>
      <c r="H442" s="49">
        <v>15000</v>
      </c>
      <c r="I442" s="47">
        <v>66</v>
      </c>
      <c r="J442" s="47">
        <v>64</v>
      </c>
      <c r="K442" s="47">
        <v>0</v>
      </c>
    </row>
    <row r="443" spans="2:11" x14ac:dyDescent="0.25">
      <c r="B443" s="47">
        <v>439</v>
      </c>
      <c r="C443" s="47" t="s">
        <v>60</v>
      </c>
      <c r="D443" s="48">
        <v>25744</v>
      </c>
      <c r="E443" s="47">
        <v>12</v>
      </c>
      <c r="F443" s="47">
        <v>1</v>
      </c>
      <c r="G443" s="49">
        <v>20400</v>
      </c>
      <c r="H443" s="49">
        <v>11250</v>
      </c>
      <c r="I443" s="47">
        <v>66</v>
      </c>
      <c r="J443" s="47">
        <v>0</v>
      </c>
      <c r="K443" s="47">
        <v>0</v>
      </c>
    </row>
    <row r="444" spans="2:11" x14ac:dyDescent="0.25">
      <c r="B444" s="47">
        <v>440</v>
      </c>
      <c r="C444" s="47" t="s">
        <v>60</v>
      </c>
      <c r="D444" s="48">
        <v>17481</v>
      </c>
      <c r="E444" s="47">
        <v>8</v>
      </c>
      <c r="F444" s="47">
        <v>1</v>
      </c>
      <c r="G444" s="49">
        <v>24150</v>
      </c>
      <c r="H444" s="49">
        <v>12750</v>
      </c>
      <c r="I444" s="47">
        <v>66</v>
      </c>
      <c r="J444" s="47">
        <v>96</v>
      </c>
      <c r="K444" s="47">
        <v>0</v>
      </c>
    </row>
    <row r="445" spans="2:11" x14ac:dyDescent="0.25">
      <c r="B445" s="47">
        <v>441</v>
      </c>
      <c r="C445" s="47" t="s">
        <v>60</v>
      </c>
      <c r="D445" s="48">
        <v>18112</v>
      </c>
      <c r="E445" s="47">
        <v>15</v>
      </c>
      <c r="F445" s="47">
        <v>1</v>
      </c>
      <c r="G445" s="49">
        <v>23850</v>
      </c>
      <c r="H445" s="49">
        <v>13500</v>
      </c>
      <c r="I445" s="47">
        <v>66</v>
      </c>
      <c r="J445" s="47">
        <v>122</v>
      </c>
      <c r="K445" s="47">
        <v>0</v>
      </c>
    </row>
    <row r="446" spans="2:11" x14ac:dyDescent="0.25">
      <c r="B446" s="47">
        <v>442</v>
      </c>
      <c r="C446" s="47" t="s">
        <v>60</v>
      </c>
      <c r="D446" s="48">
        <v>25099</v>
      </c>
      <c r="E446" s="47">
        <v>12</v>
      </c>
      <c r="F446" s="47">
        <v>1</v>
      </c>
      <c r="G446" s="49">
        <v>29700</v>
      </c>
      <c r="H446" s="49">
        <v>13500</v>
      </c>
      <c r="I446" s="47">
        <v>66</v>
      </c>
      <c r="J446" s="47">
        <v>26</v>
      </c>
      <c r="K446" s="47">
        <v>0</v>
      </c>
    </row>
    <row r="447" spans="2:11" x14ac:dyDescent="0.25">
      <c r="B447" s="47">
        <v>443</v>
      </c>
      <c r="C447" s="47" t="s">
        <v>60</v>
      </c>
      <c r="D447" s="48">
        <v>10634</v>
      </c>
      <c r="E447" s="47">
        <v>8</v>
      </c>
      <c r="F447" s="47">
        <v>1</v>
      </c>
      <c r="G447" s="49">
        <v>21600</v>
      </c>
      <c r="H447" s="49">
        <v>13500</v>
      </c>
      <c r="I447" s="47">
        <v>66</v>
      </c>
      <c r="J447" s="47">
        <v>228</v>
      </c>
      <c r="K447" s="47">
        <v>0</v>
      </c>
    </row>
    <row r="448" spans="2:11" x14ac:dyDescent="0.25">
      <c r="B448" s="47">
        <v>444</v>
      </c>
      <c r="C448" s="47" t="s">
        <v>60</v>
      </c>
      <c r="D448" s="48">
        <v>22540</v>
      </c>
      <c r="E448" s="47">
        <v>12</v>
      </c>
      <c r="F448" s="47">
        <v>1</v>
      </c>
      <c r="G448" s="49">
        <v>24450</v>
      </c>
      <c r="H448" s="49">
        <v>15750</v>
      </c>
      <c r="I448" s="47">
        <v>66</v>
      </c>
      <c r="J448" s="47">
        <v>87</v>
      </c>
      <c r="K448" s="47">
        <v>0</v>
      </c>
    </row>
    <row r="449" spans="2:11" x14ac:dyDescent="0.25">
      <c r="B449" s="47">
        <v>445</v>
      </c>
      <c r="C449" s="47" t="s">
        <v>59</v>
      </c>
      <c r="D449" s="48">
        <v>23227</v>
      </c>
      <c r="E449" s="47">
        <v>15</v>
      </c>
      <c r="F449" s="47">
        <v>1</v>
      </c>
      <c r="G449" s="49">
        <v>28050</v>
      </c>
      <c r="H449" s="49">
        <v>16500</v>
      </c>
      <c r="I449" s="47">
        <v>66</v>
      </c>
      <c r="J449" s="47">
        <v>84</v>
      </c>
      <c r="K449" s="47">
        <v>1</v>
      </c>
    </row>
    <row r="450" spans="2:11" x14ac:dyDescent="0.25">
      <c r="B450" s="47">
        <v>284</v>
      </c>
      <c r="C450" s="47" t="s">
        <v>59</v>
      </c>
      <c r="D450" s="48">
        <v>22564</v>
      </c>
      <c r="E450" s="47">
        <v>19</v>
      </c>
      <c r="F450" s="47">
        <v>3</v>
      </c>
      <c r="G450" s="49">
        <v>73500</v>
      </c>
      <c r="H450" s="49">
        <v>33000</v>
      </c>
      <c r="I450" s="47">
        <v>78</v>
      </c>
      <c r="J450" s="47">
        <v>45</v>
      </c>
      <c r="K450" s="47">
        <v>0</v>
      </c>
    </row>
    <row r="451" spans="2:11" x14ac:dyDescent="0.25">
      <c r="B451" s="47">
        <v>447</v>
      </c>
      <c r="C451" s="47" t="s">
        <v>59</v>
      </c>
      <c r="D451" s="48">
        <v>22464</v>
      </c>
      <c r="E451" s="47">
        <v>15</v>
      </c>
      <c r="F451" s="47">
        <v>1</v>
      </c>
      <c r="G451" s="49">
        <v>49000</v>
      </c>
      <c r="H451" s="49">
        <v>20550</v>
      </c>
      <c r="I451" s="47">
        <v>66</v>
      </c>
      <c r="J451" s="47">
        <v>86</v>
      </c>
      <c r="K451" s="47">
        <v>1</v>
      </c>
    </row>
    <row r="452" spans="2:11" x14ac:dyDescent="0.25">
      <c r="B452" s="47">
        <v>448</v>
      </c>
      <c r="C452" s="47" t="s">
        <v>60</v>
      </c>
      <c r="D452" s="48">
        <v>12210</v>
      </c>
      <c r="E452" s="47">
        <v>12</v>
      </c>
      <c r="F452" s="47">
        <v>1</v>
      </c>
      <c r="G452" s="49">
        <v>16350</v>
      </c>
      <c r="H452" s="49">
        <v>10200</v>
      </c>
      <c r="I452" s="47">
        <v>66</v>
      </c>
      <c r="J452" s="47">
        <v>163</v>
      </c>
      <c r="K452" s="47">
        <v>1</v>
      </c>
    </row>
    <row r="453" spans="2:11" x14ac:dyDescent="0.25">
      <c r="B453" s="47">
        <v>449</v>
      </c>
      <c r="C453" s="47" t="s">
        <v>59</v>
      </c>
      <c r="D453" s="48">
        <v>24109</v>
      </c>
      <c r="E453" s="47">
        <v>16</v>
      </c>
      <c r="F453" s="47">
        <v>3</v>
      </c>
      <c r="G453" s="49">
        <v>70000</v>
      </c>
      <c r="H453" s="49">
        <v>21750</v>
      </c>
      <c r="I453" s="47">
        <v>65</v>
      </c>
      <c r="J453" s="47">
        <v>19</v>
      </c>
      <c r="K453" s="47">
        <v>0</v>
      </c>
    </row>
    <row r="454" spans="2:11" x14ac:dyDescent="0.25">
      <c r="B454" s="47">
        <v>450</v>
      </c>
      <c r="C454" s="47" t="s">
        <v>59</v>
      </c>
      <c r="D454" s="48">
        <v>19926</v>
      </c>
      <c r="E454" s="47">
        <v>19</v>
      </c>
      <c r="F454" s="47">
        <v>3</v>
      </c>
      <c r="G454" s="49">
        <v>55000</v>
      </c>
      <c r="H454" s="49">
        <v>34980</v>
      </c>
      <c r="I454" s="47">
        <v>65</v>
      </c>
      <c r="J454" s="47">
        <v>129</v>
      </c>
      <c r="K454" s="47">
        <v>0</v>
      </c>
    </row>
    <row r="455" spans="2:11" x14ac:dyDescent="0.25">
      <c r="B455" s="47">
        <v>451</v>
      </c>
      <c r="C455" s="47" t="s">
        <v>59</v>
      </c>
      <c r="D455" s="48">
        <v>25403</v>
      </c>
      <c r="E455" s="47">
        <v>15</v>
      </c>
      <c r="F455" s="47">
        <v>1</v>
      </c>
      <c r="G455" s="49">
        <v>28500</v>
      </c>
      <c r="H455" s="49">
        <v>14250</v>
      </c>
      <c r="I455" s="47">
        <v>65</v>
      </c>
      <c r="J455" s="47">
        <v>20</v>
      </c>
      <c r="K455" s="47">
        <v>0</v>
      </c>
    </row>
    <row r="456" spans="2:11" x14ac:dyDescent="0.25">
      <c r="B456" s="47">
        <v>452</v>
      </c>
      <c r="C456" s="47" t="s">
        <v>59</v>
      </c>
      <c r="D456" s="48">
        <v>19584</v>
      </c>
      <c r="E456" s="47">
        <v>12</v>
      </c>
      <c r="F456" s="47">
        <v>1</v>
      </c>
      <c r="G456" s="49">
        <v>28800</v>
      </c>
      <c r="H456" s="49">
        <v>18000</v>
      </c>
      <c r="I456" s="47">
        <v>65</v>
      </c>
      <c r="J456" s="47">
        <v>210</v>
      </c>
      <c r="K456" s="47">
        <v>0</v>
      </c>
    </row>
    <row r="457" spans="2:11" x14ac:dyDescent="0.25">
      <c r="B457" s="47">
        <v>453</v>
      </c>
      <c r="C457" s="47" t="s">
        <v>59</v>
      </c>
      <c r="D457" s="48">
        <v>11177</v>
      </c>
      <c r="E457" s="47">
        <v>15</v>
      </c>
      <c r="F457" s="47">
        <v>1</v>
      </c>
      <c r="G457" s="49">
        <v>24450</v>
      </c>
      <c r="H457" s="49">
        <v>15750</v>
      </c>
      <c r="I457" s="47">
        <v>65</v>
      </c>
      <c r="J457" s="47">
        <v>338</v>
      </c>
      <c r="K457" s="47">
        <v>0</v>
      </c>
    </row>
    <row r="458" spans="2:11" x14ac:dyDescent="0.25">
      <c r="B458" s="47">
        <v>88</v>
      </c>
      <c r="C458" s="47" t="s">
        <v>59</v>
      </c>
      <c r="D458" s="48">
        <v>22687</v>
      </c>
      <c r="E458" s="47">
        <v>19</v>
      </c>
      <c r="F458" s="47">
        <v>3</v>
      </c>
      <c r="G458" s="49">
        <v>72500</v>
      </c>
      <c r="H458" s="49">
        <v>28740</v>
      </c>
      <c r="I458" s="47">
        <v>92</v>
      </c>
      <c r="J458" s="47">
        <v>10</v>
      </c>
      <c r="K458" s="47">
        <v>0</v>
      </c>
    </row>
    <row r="459" spans="2:11" x14ac:dyDescent="0.25">
      <c r="B459" s="47">
        <v>455</v>
      </c>
      <c r="C459" s="47" t="s">
        <v>59</v>
      </c>
      <c r="D459" s="48">
        <v>23393</v>
      </c>
      <c r="E459" s="47">
        <v>16</v>
      </c>
      <c r="F459" s="47">
        <v>3</v>
      </c>
      <c r="G459" s="49">
        <v>43650</v>
      </c>
      <c r="H459" s="49">
        <v>19500</v>
      </c>
      <c r="I459" s="47">
        <v>65</v>
      </c>
      <c r="J459" s="47">
        <v>19</v>
      </c>
      <c r="K459" s="47">
        <v>0</v>
      </c>
    </row>
    <row r="460" spans="2:11" x14ac:dyDescent="0.25">
      <c r="B460" s="47">
        <v>198</v>
      </c>
      <c r="C460" s="47" t="s">
        <v>59</v>
      </c>
      <c r="D460" s="48">
        <v>19070</v>
      </c>
      <c r="E460" s="47">
        <v>19</v>
      </c>
      <c r="F460" s="47">
        <v>3</v>
      </c>
      <c r="G460" s="49">
        <v>70875</v>
      </c>
      <c r="H460" s="49">
        <v>43500</v>
      </c>
      <c r="I460" s="47">
        <v>83</v>
      </c>
      <c r="J460" s="47">
        <v>156</v>
      </c>
      <c r="K460" s="47">
        <v>0</v>
      </c>
    </row>
    <row r="461" spans="2:11" x14ac:dyDescent="0.25">
      <c r="B461" s="47">
        <v>457</v>
      </c>
      <c r="C461" s="47" t="s">
        <v>59</v>
      </c>
      <c r="D461" s="48">
        <v>24985</v>
      </c>
      <c r="E461" s="47">
        <v>15</v>
      </c>
      <c r="F461" s="47">
        <v>1</v>
      </c>
      <c r="G461" s="49">
        <v>31650</v>
      </c>
      <c r="H461" s="49">
        <v>14250</v>
      </c>
      <c r="I461" s="47">
        <v>65</v>
      </c>
      <c r="J461" s="47">
        <v>10</v>
      </c>
      <c r="K461" s="47">
        <v>0</v>
      </c>
    </row>
    <row r="462" spans="2:11" x14ac:dyDescent="0.25">
      <c r="B462" s="47">
        <v>458</v>
      </c>
      <c r="C462" s="47" t="s">
        <v>59</v>
      </c>
      <c r="D462" s="48">
        <v>23929</v>
      </c>
      <c r="E462" s="47">
        <v>19</v>
      </c>
      <c r="F462" s="47">
        <v>3</v>
      </c>
      <c r="G462" s="49">
        <v>61875</v>
      </c>
      <c r="H462" s="49">
        <v>28740</v>
      </c>
      <c r="I462" s="47">
        <v>65</v>
      </c>
      <c r="J462" s="47">
        <v>26</v>
      </c>
      <c r="K462" s="47">
        <v>0</v>
      </c>
    </row>
    <row r="463" spans="2:11" x14ac:dyDescent="0.25">
      <c r="B463" s="47">
        <v>459</v>
      </c>
      <c r="C463" s="47" t="s">
        <v>60</v>
      </c>
      <c r="D463" s="48">
        <v>25974</v>
      </c>
      <c r="E463" s="47">
        <v>12</v>
      </c>
      <c r="F463" s="47">
        <v>1</v>
      </c>
      <c r="G463" s="49">
        <v>21750</v>
      </c>
      <c r="H463" s="49">
        <v>11250</v>
      </c>
      <c r="I463" s="47">
        <v>65</v>
      </c>
      <c r="J463" s="47">
        <v>0</v>
      </c>
      <c r="K463" s="47">
        <v>0</v>
      </c>
    </row>
    <row r="464" spans="2:11" x14ac:dyDescent="0.25">
      <c r="B464" s="47">
        <v>460</v>
      </c>
      <c r="C464" s="47" t="s">
        <v>60</v>
      </c>
      <c r="D464" s="48">
        <v>25427</v>
      </c>
      <c r="E464" s="47">
        <v>12</v>
      </c>
      <c r="F464" s="47">
        <v>1</v>
      </c>
      <c r="G464" s="49">
        <v>22500</v>
      </c>
      <c r="H464" s="49">
        <v>12750</v>
      </c>
      <c r="I464" s="47">
        <v>65</v>
      </c>
      <c r="J464" s="47">
        <v>24</v>
      </c>
      <c r="K464" s="47">
        <v>0</v>
      </c>
    </row>
    <row r="465" spans="2:11" x14ac:dyDescent="0.25">
      <c r="B465" s="47">
        <v>461</v>
      </c>
      <c r="C465" s="47" t="s">
        <v>60</v>
      </c>
      <c r="D465" s="48">
        <v>16018</v>
      </c>
      <c r="E465" s="47">
        <v>8</v>
      </c>
      <c r="F465" s="47">
        <v>1</v>
      </c>
      <c r="G465" s="49">
        <v>21600</v>
      </c>
      <c r="H465" s="49">
        <v>13500</v>
      </c>
      <c r="I465" s="47">
        <v>65</v>
      </c>
      <c r="J465" s="47">
        <v>173</v>
      </c>
      <c r="K465" s="47">
        <v>0</v>
      </c>
    </row>
    <row r="466" spans="2:11" x14ac:dyDescent="0.25">
      <c r="B466" s="47">
        <v>462</v>
      </c>
      <c r="C466" s="47" t="s">
        <v>60</v>
      </c>
      <c r="D466" s="48">
        <v>23302</v>
      </c>
      <c r="E466" s="47">
        <v>16</v>
      </c>
      <c r="F466" s="47">
        <v>3</v>
      </c>
      <c r="G466" s="49">
        <v>34410</v>
      </c>
      <c r="H466" s="49">
        <v>19500</v>
      </c>
      <c r="I466" s="47">
        <v>65</v>
      </c>
      <c r="J466" s="47">
        <v>79</v>
      </c>
      <c r="K466" s="47">
        <v>0</v>
      </c>
    </row>
    <row r="467" spans="2:11" x14ac:dyDescent="0.25">
      <c r="B467" s="47">
        <v>463</v>
      </c>
      <c r="C467" s="47" t="s">
        <v>60</v>
      </c>
      <c r="D467" s="48">
        <v>12707</v>
      </c>
      <c r="E467" s="47">
        <v>15</v>
      </c>
      <c r="F467" s="47">
        <v>1</v>
      </c>
      <c r="G467" s="49">
        <v>20700</v>
      </c>
      <c r="H467" s="49">
        <v>14250</v>
      </c>
      <c r="I467" s="47">
        <v>65</v>
      </c>
      <c r="J467" s="47">
        <v>241</v>
      </c>
      <c r="K467" s="47">
        <v>0</v>
      </c>
    </row>
    <row r="468" spans="2:11" x14ac:dyDescent="0.25">
      <c r="B468" s="47">
        <v>464</v>
      </c>
      <c r="C468" s="47" t="s">
        <v>59</v>
      </c>
      <c r="D468" s="48">
        <v>22725</v>
      </c>
      <c r="E468" s="47">
        <v>19</v>
      </c>
      <c r="F468" s="47">
        <v>3</v>
      </c>
      <c r="G468" s="49">
        <v>47550</v>
      </c>
      <c r="H468" s="49">
        <v>33000</v>
      </c>
      <c r="I468" s="47">
        <v>64</v>
      </c>
      <c r="J468" s="47">
        <v>27</v>
      </c>
      <c r="K468" s="47">
        <v>0</v>
      </c>
    </row>
    <row r="469" spans="2:11" x14ac:dyDescent="0.25">
      <c r="B469" s="47">
        <v>465</v>
      </c>
      <c r="C469" s="47" t="s">
        <v>59</v>
      </c>
      <c r="D469" s="48">
        <v>22847</v>
      </c>
      <c r="E469" s="47">
        <v>12</v>
      </c>
      <c r="F469" s="47">
        <v>1</v>
      </c>
      <c r="G469" s="49">
        <v>33900</v>
      </c>
      <c r="H469" s="49">
        <v>16500</v>
      </c>
      <c r="I469" s="47">
        <v>64</v>
      </c>
      <c r="J469" s="47">
        <v>106</v>
      </c>
      <c r="K469" s="47">
        <v>0</v>
      </c>
    </row>
    <row r="470" spans="2:11" x14ac:dyDescent="0.25">
      <c r="B470" s="47">
        <v>466</v>
      </c>
      <c r="C470" s="47" t="s">
        <v>60</v>
      </c>
      <c r="D470" s="48">
        <v>17699</v>
      </c>
      <c r="E470" s="47">
        <v>12</v>
      </c>
      <c r="F470" s="47">
        <v>1</v>
      </c>
      <c r="G470" s="49">
        <v>23400</v>
      </c>
      <c r="H470" s="49">
        <v>13500</v>
      </c>
      <c r="I470" s="47">
        <v>64</v>
      </c>
      <c r="J470" s="47">
        <v>198</v>
      </c>
      <c r="K470" s="47">
        <v>0</v>
      </c>
    </row>
    <row r="471" spans="2:11" x14ac:dyDescent="0.25">
      <c r="B471" s="47">
        <v>467</v>
      </c>
      <c r="C471" s="47" t="s">
        <v>60</v>
      </c>
      <c r="D471" s="48">
        <v>24702</v>
      </c>
      <c r="E471" s="47">
        <v>16</v>
      </c>
      <c r="F471" s="47">
        <v>1</v>
      </c>
      <c r="G471" s="49">
        <v>32850</v>
      </c>
      <c r="H471" s="49">
        <v>19500</v>
      </c>
      <c r="I471" s="47">
        <v>64</v>
      </c>
      <c r="J471" s="47">
        <v>20</v>
      </c>
      <c r="K471" s="47">
        <v>0</v>
      </c>
    </row>
    <row r="472" spans="2:11" x14ac:dyDescent="0.25">
      <c r="B472" s="47">
        <v>468</v>
      </c>
      <c r="C472" s="47" t="s">
        <v>60</v>
      </c>
      <c r="D472" s="48">
        <v>24074</v>
      </c>
      <c r="E472" s="47">
        <v>16</v>
      </c>
      <c r="F472" s="47">
        <v>3</v>
      </c>
      <c r="G472" s="49">
        <v>55750</v>
      </c>
      <c r="H472" s="49">
        <v>19980</v>
      </c>
      <c r="I472" s="47">
        <v>64</v>
      </c>
      <c r="J472" s="47">
        <v>36</v>
      </c>
      <c r="K472" s="47">
        <v>0</v>
      </c>
    </row>
    <row r="473" spans="2:11" x14ac:dyDescent="0.25">
      <c r="B473" s="47">
        <v>469</v>
      </c>
      <c r="C473" s="47" t="s">
        <v>60</v>
      </c>
      <c r="D473" s="48">
        <v>23529</v>
      </c>
      <c r="E473" s="47">
        <v>15</v>
      </c>
      <c r="F473" s="47">
        <v>1</v>
      </c>
      <c r="G473" s="49">
        <v>25200</v>
      </c>
      <c r="H473" s="49">
        <v>13950</v>
      </c>
      <c r="I473" s="47">
        <v>64</v>
      </c>
      <c r="J473" s="47">
        <v>57</v>
      </c>
      <c r="K473" s="47">
        <v>0</v>
      </c>
    </row>
    <row r="474" spans="2:11" x14ac:dyDescent="0.25">
      <c r="B474" s="47">
        <v>470</v>
      </c>
      <c r="C474" s="47" t="s">
        <v>59</v>
      </c>
      <c r="D474" s="48">
        <v>23398</v>
      </c>
      <c r="E474" s="47">
        <v>12</v>
      </c>
      <c r="F474" s="47">
        <v>1</v>
      </c>
      <c r="G474" s="49">
        <v>26250</v>
      </c>
      <c r="H474" s="49">
        <v>15750</v>
      </c>
      <c r="I474" s="47">
        <v>64</v>
      </c>
      <c r="J474" s="47">
        <v>69</v>
      </c>
      <c r="K474" s="47">
        <v>1</v>
      </c>
    </row>
    <row r="475" spans="2:11" x14ac:dyDescent="0.25">
      <c r="B475" s="47">
        <v>471</v>
      </c>
      <c r="C475" s="47" t="s">
        <v>59</v>
      </c>
      <c r="D475" s="48">
        <v>24322</v>
      </c>
      <c r="E475" s="47">
        <v>15</v>
      </c>
      <c r="F475" s="47">
        <v>1</v>
      </c>
      <c r="G475" s="49">
        <v>26400</v>
      </c>
      <c r="H475" s="49">
        <v>15750</v>
      </c>
      <c r="I475" s="47">
        <v>64</v>
      </c>
      <c r="J475" s="47">
        <v>32</v>
      </c>
      <c r="K475" s="47">
        <v>1</v>
      </c>
    </row>
    <row r="476" spans="2:11" x14ac:dyDescent="0.25">
      <c r="B476" s="47">
        <v>472</v>
      </c>
      <c r="C476" s="47" t="s">
        <v>59</v>
      </c>
      <c r="D476" s="48">
        <v>24159</v>
      </c>
      <c r="E476" s="47">
        <v>15</v>
      </c>
      <c r="F476" s="47">
        <v>1</v>
      </c>
      <c r="G476" s="49">
        <v>39150</v>
      </c>
      <c r="H476" s="49">
        <v>15750</v>
      </c>
      <c r="I476" s="47">
        <v>63</v>
      </c>
      <c r="J476" s="47">
        <v>46</v>
      </c>
      <c r="K476" s="47">
        <v>0</v>
      </c>
    </row>
    <row r="477" spans="2:11" x14ac:dyDescent="0.25">
      <c r="B477" s="47">
        <v>473</v>
      </c>
      <c r="C477" s="47" t="s">
        <v>60</v>
      </c>
      <c r="D477" s="48">
        <v>13844</v>
      </c>
      <c r="E477" s="47">
        <v>12</v>
      </c>
      <c r="F477" s="47">
        <v>1</v>
      </c>
      <c r="G477" s="49">
        <v>21450</v>
      </c>
      <c r="H477" s="49">
        <v>12750</v>
      </c>
      <c r="I477" s="47">
        <v>63</v>
      </c>
      <c r="J477" s="47">
        <v>139</v>
      </c>
      <c r="K477" s="47">
        <v>0</v>
      </c>
    </row>
    <row r="478" spans="2:11" x14ac:dyDescent="0.25">
      <c r="B478" s="47">
        <v>474</v>
      </c>
      <c r="C478" s="47" t="s">
        <v>60</v>
      </c>
      <c r="D478" s="48">
        <v>25147</v>
      </c>
      <c r="E478" s="47">
        <v>12</v>
      </c>
      <c r="F478" s="47">
        <v>1</v>
      </c>
      <c r="G478" s="49">
        <v>29400</v>
      </c>
      <c r="H478" s="49">
        <v>14250</v>
      </c>
      <c r="I478" s="47">
        <v>63</v>
      </c>
      <c r="J478" s="47">
        <v>9</v>
      </c>
      <c r="K478" s="47">
        <v>0</v>
      </c>
    </row>
  </sheetData>
  <conditionalFormatting sqref="G4:G47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">
    <cfRule type="cellIs" dxfId="2" priority="1" operator="greaterThan">
      <formula>80000</formula>
    </cfRule>
    <cfRule type="cellIs" dxfId="1" priority="2" operator="lessThan">
      <formula>20000</formula>
    </cfRule>
    <cfRule type="cellIs" dxfId="0" priority="3" operator="between">
      <formula>20000</formula>
      <formula>80000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VBA Labirynth</vt:lpstr>
      <vt:lpstr>Pivot &amp; Charts</vt:lpstr>
      <vt:lpstr>Cond. formatting + vlookup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mrlingo</dc:creator>
  <cp:lastModifiedBy>mrlingo</cp:lastModifiedBy>
  <dcterms:created xsi:type="dcterms:W3CDTF">2021-06-12T06:22:35Z</dcterms:created>
  <dcterms:modified xsi:type="dcterms:W3CDTF">2021-06-20T09:38:44Z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44582ab6-3b1b-49a1-b872-e2c0a0d83ec9</vt:lpwstr>
  </property>
</Properties>
</file>